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1_Engineering\01_Projects\14_450_V_Module_Isol\00_Des\00_CAD\Computations\"/>
    </mc:Choice>
  </mc:AlternateContent>
  <xr:revisionPtr revIDLastSave="0" documentId="13_ncr:2001_{F5395C88-AFED-4F4B-90B6-B20C4B32D6E4}" xr6:coauthVersionLast="47" xr6:coauthVersionMax="47" xr10:uidLastSave="{00000000-0000-0000-0000-000000000000}"/>
  <bookViews>
    <workbookView xWindow="-120" yWindow="-16320" windowWidth="29040" windowHeight="15720" xr2:uid="{5F551EED-C412-4F48-9D54-D83EC77118E4}"/>
  </bookViews>
  <sheets>
    <sheet name="Operating_characteristics" sheetId="8" r:id="rId1"/>
    <sheet name="compensation" sheetId="12" r:id="rId2"/>
    <sheet name="Sheet3" sheetId="3" r:id="rId3"/>
  </sheets>
  <definedNames>
    <definedName name="_xlnm._FilterDatabase" localSheetId="0" hidden="1">Operating_characteristics!$E$3:$Z$178</definedName>
    <definedName name="Acs">Operating_characteristics!$C$26</definedName>
    <definedName name="C_ESR">Operating_characteristics!#REF!</definedName>
    <definedName name="Cout">Operating_characteristics!$C$20</definedName>
    <definedName name="Dmax">Operating_characteristics!$C$19</definedName>
    <definedName name="eff">Operating_characteristics!$C$21</definedName>
    <definedName name="fs">Operating_characteristics!$C$18</definedName>
    <definedName name="Lp">Operating_characteristics!$C$4</definedName>
    <definedName name="M">Operating_characteristics!$C$28</definedName>
    <definedName name="n">Operating_characteristics!$C$10</definedName>
    <definedName name="ninv">Operating_characteristics!$C$11</definedName>
    <definedName name="Rcs">Operating_characteristics!$C$22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2" l="1"/>
  <c r="H8" i="12" s="1"/>
  <c r="I9" i="12"/>
  <c r="I8" i="12" s="1"/>
  <c r="N9" i="12"/>
  <c r="N8" i="12" s="1"/>
  <c r="O9" i="12"/>
  <c r="O8" i="12" s="1"/>
  <c r="H10" i="12"/>
  <c r="N10" i="12"/>
  <c r="H11" i="12"/>
  <c r="H12" i="12" s="1"/>
  <c r="N11" i="12"/>
  <c r="N12" i="12" s="1"/>
  <c r="N13" i="12" s="1"/>
  <c r="H13" i="12"/>
  <c r="H14" i="12"/>
  <c r="I14" i="12"/>
  <c r="N14" i="12"/>
  <c r="N15" i="12"/>
  <c r="O15" i="12"/>
  <c r="L8" i="12"/>
  <c r="R8" i="12"/>
  <c r="L9" i="12"/>
  <c r="R9" i="12"/>
  <c r="K10" i="12"/>
  <c r="K9" i="12" s="1"/>
  <c r="K8" i="12" s="1"/>
  <c r="L10" i="12"/>
  <c r="L11" i="12" s="1"/>
  <c r="L12" i="12" s="1"/>
  <c r="L13" i="12" s="1"/>
  <c r="L14" i="12" s="1"/>
  <c r="Q10" i="12"/>
  <c r="Q9" i="12" s="1"/>
  <c r="Q8" i="12" s="1"/>
  <c r="R10" i="12"/>
  <c r="R11" i="12" s="1"/>
  <c r="R12" i="12" s="1"/>
  <c r="R13" i="12" s="1"/>
  <c r="Q14" i="12"/>
  <c r="Q15" i="12" s="1"/>
  <c r="K15" i="12"/>
  <c r="K16" i="12" s="1"/>
  <c r="R15" i="12"/>
  <c r="L16" i="12"/>
  <c r="S42" i="12"/>
  <c r="E26" i="12"/>
  <c r="E25" i="12"/>
  <c r="E31" i="12"/>
  <c r="P25" i="12" s="1"/>
  <c r="P24" i="12" s="1"/>
  <c r="P23" i="12" s="1"/>
  <c r="E32" i="12"/>
  <c r="P26" i="12" s="1"/>
  <c r="P27" i="12" s="1"/>
  <c r="P28" i="12" s="1"/>
  <c r="H4" i="3"/>
  <c r="C25" i="12"/>
  <c r="D25" i="12"/>
  <c r="D26" i="12"/>
  <c r="D31" i="12"/>
  <c r="L25" i="12" s="1"/>
  <c r="L24" i="12" s="1"/>
  <c r="L23" i="12" s="1"/>
  <c r="D32" i="12"/>
  <c r="L26" i="12" s="1"/>
  <c r="L27" i="12" s="1"/>
  <c r="L28" i="12" s="1"/>
  <c r="C32" i="12"/>
  <c r="H25" i="12" s="1"/>
  <c r="H26" i="12" s="1"/>
  <c r="C31" i="12"/>
  <c r="H24" i="12" s="1"/>
  <c r="H23" i="12" s="1"/>
  <c r="C26" i="12"/>
  <c r="E16" i="12"/>
  <c r="F16" i="12"/>
  <c r="E11" i="12"/>
  <c r="E15" i="12" s="1"/>
  <c r="F11" i="12"/>
  <c r="F15" i="12" s="1"/>
  <c r="E12" i="12"/>
  <c r="F12" i="12"/>
  <c r="D12" i="12"/>
  <c r="C12" i="12"/>
  <c r="D11" i="12"/>
  <c r="C11" i="12"/>
  <c r="C15" i="12" s="1"/>
  <c r="D16" i="12"/>
  <c r="C16" i="12"/>
  <c r="C20" i="8"/>
  <c r="J39" i="8"/>
  <c r="K39" i="8"/>
  <c r="P39" i="8"/>
  <c r="R39" i="8"/>
  <c r="J40" i="8"/>
  <c r="K40" i="8"/>
  <c r="P40" i="8"/>
  <c r="R40" i="8"/>
  <c r="J41" i="8"/>
  <c r="K41" i="8"/>
  <c r="P41" i="8"/>
  <c r="R41" i="8"/>
  <c r="J42" i="8"/>
  <c r="K42" i="8"/>
  <c r="P42" i="8"/>
  <c r="R42" i="8"/>
  <c r="J43" i="8"/>
  <c r="K43" i="8"/>
  <c r="P43" i="8"/>
  <c r="R43" i="8"/>
  <c r="J44" i="8"/>
  <c r="K44" i="8"/>
  <c r="P44" i="8"/>
  <c r="R44" i="8"/>
  <c r="J45" i="8"/>
  <c r="K45" i="8"/>
  <c r="P45" i="8"/>
  <c r="R45" i="8"/>
  <c r="J74" i="8"/>
  <c r="K74" i="8"/>
  <c r="P74" i="8"/>
  <c r="R74" i="8"/>
  <c r="J77" i="8"/>
  <c r="K77" i="8"/>
  <c r="P77" i="8"/>
  <c r="R77" i="8"/>
  <c r="J82" i="8"/>
  <c r="K82" i="8"/>
  <c r="P82" i="8"/>
  <c r="R82" i="8"/>
  <c r="J80" i="8"/>
  <c r="K80" i="8"/>
  <c r="P80" i="8"/>
  <c r="R80" i="8"/>
  <c r="J92" i="8"/>
  <c r="K92" i="8"/>
  <c r="P92" i="8"/>
  <c r="R92" i="8"/>
  <c r="J81" i="8"/>
  <c r="K81" i="8"/>
  <c r="P81" i="8"/>
  <c r="R81" i="8"/>
  <c r="J106" i="8"/>
  <c r="K106" i="8"/>
  <c r="P106" i="8"/>
  <c r="R106" i="8"/>
  <c r="J75" i="8"/>
  <c r="K75" i="8"/>
  <c r="P75" i="8"/>
  <c r="R75" i="8"/>
  <c r="J78" i="8"/>
  <c r="K78" i="8"/>
  <c r="P78" i="8"/>
  <c r="R78" i="8"/>
  <c r="J113" i="8"/>
  <c r="K113" i="8"/>
  <c r="P113" i="8"/>
  <c r="R113" i="8"/>
  <c r="J115" i="8"/>
  <c r="K115" i="8"/>
  <c r="P115" i="8"/>
  <c r="R115" i="8"/>
  <c r="J117" i="8"/>
  <c r="K117" i="8"/>
  <c r="P117" i="8"/>
  <c r="R117" i="8"/>
  <c r="J119" i="8"/>
  <c r="K119" i="8"/>
  <c r="P119" i="8"/>
  <c r="R119" i="8"/>
  <c r="J129" i="8"/>
  <c r="K129" i="8"/>
  <c r="P129" i="8"/>
  <c r="R129" i="8"/>
  <c r="J76" i="8"/>
  <c r="K76" i="8"/>
  <c r="P76" i="8"/>
  <c r="R76" i="8"/>
  <c r="J79" i="8"/>
  <c r="K79" i="8"/>
  <c r="P79" i="8"/>
  <c r="R79" i="8"/>
  <c r="J114" i="8"/>
  <c r="K114" i="8"/>
  <c r="P114" i="8"/>
  <c r="R114" i="8"/>
  <c r="J116" i="8"/>
  <c r="K116" i="8"/>
  <c r="P116" i="8"/>
  <c r="R116" i="8"/>
  <c r="J118" i="8"/>
  <c r="K118" i="8"/>
  <c r="P118" i="8"/>
  <c r="R118" i="8"/>
  <c r="J120" i="8"/>
  <c r="K120" i="8"/>
  <c r="P120" i="8"/>
  <c r="R120" i="8"/>
  <c r="J130" i="8"/>
  <c r="K130" i="8"/>
  <c r="P130" i="8"/>
  <c r="R130" i="8"/>
  <c r="J35" i="8"/>
  <c r="K35" i="8"/>
  <c r="P35" i="8"/>
  <c r="R35" i="8"/>
  <c r="J10" i="8"/>
  <c r="K10" i="8"/>
  <c r="P10" i="8"/>
  <c r="R10" i="8"/>
  <c r="J11" i="8"/>
  <c r="K11" i="8"/>
  <c r="P11" i="8"/>
  <c r="R11" i="8"/>
  <c r="J12" i="8"/>
  <c r="K12" i="8"/>
  <c r="P12" i="8"/>
  <c r="R12" i="8"/>
  <c r="J13" i="8"/>
  <c r="K13" i="8"/>
  <c r="P13" i="8"/>
  <c r="R13" i="8"/>
  <c r="J14" i="8"/>
  <c r="K14" i="8"/>
  <c r="P14" i="8"/>
  <c r="R14" i="8"/>
  <c r="J15" i="8"/>
  <c r="K15" i="8"/>
  <c r="P15" i="8"/>
  <c r="R15" i="8"/>
  <c r="J46" i="8"/>
  <c r="K46" i="8"/>
  <c r="P46" i="8"/>
  <c r="R46" i="8"/>
  <c r="J47" i="8"/>
  <c r="K47" i="8"/>
  <c r="P47" i="8"/>
  <c r="R47" i="8"/>
  <c r="J48" i="8"/>
  <c r="K48" i="8"/>
  <c r="P48" i="8"/>
  <c r="R48" i="8"/>
  <c r="J49" i="8"/>
  <c r="K49" i="8"/>
  <c r="P49" i="8"/>
  <c r="R49" i="8"/>
  <c r="J50" i="8"/>
  <c r="K50" i="8"/>
  <c r="P50" i="8"/>
  <c r="R50" i="8"/>
  <c r="J51" i="8"/>
  <c r="K51" i="8"/>
  <c r="P51" i="8"/>
  <c r="R51" i="8"/>
  <c r="J52" i="8"/>
  <c r="K52" i="8"/>
  <c r="P52" i="8"/>
  <c r="R52" i="8"/>
  <c r="J85" i="8"/>
  <c r="K85" i="8"/>
  <c r="P85" i="8"/>
  <c r="R85" i="8"/>
  <c r="J86" i="8"/>
  <c r="K86" i="8"/>
  <c r="P86" i="8"/>
  <c r="R86" i="8"/>
  <c r="J87" i="8"/>
  <c r="K87" i="8"/>
  <c r="P87" i="8"/>
  <c r="R87" i="8"/>
  <c r="J88" i="8"/>
  <c r="K88" i="8"/>
  <c r="P88" i="8"/>
  <c r="R88" i="8"/>
  <c r="J89" i="8"/>
  <c r="K89" i="8"/>
  <c r="P89" i="8"/>
  <c r="R89" i="8"/>
  <c r="J90" i="8"/>
  <c r="K90" i="8"/>
  <c r="P90" i="8"/>
  <c r="R90" i="8"/>
  <c r="J91" i="8"/>
  <c r="K91" i="8"/>
  <c r="P91" i="8"/>
  <c r="R91" i="8"/>
  <c r="J121" i="8"/>
  <c r="K121" i="8"/>
  <c r="P121" i="8"/>
  <c r="R121" i="8"/>
  <c r="J131" i="8"/>
  <c r="K131" i="8"/>
  <c r="P131" i="8"/>
  <c r="R131" i="8"/>
  <c r="J132" i="8"/>
  <c r="K132" i="8"/>
  <c r="P132" i="8"/>
  <c r="R132" i="8"/>
  <c r="J133" i="8"/>
  <c r="K133" i="8"/>
  <c r="P133" i="8"/>
  <c r="R133" i="8"/>
  <c r="J134" i="8"/>
  <c r="K134" i="8"/>
  <c r="P134" i="8"/>
  <c r="R134" i="8"/>
  <c r="J135" i="8"/>
  <c r="K135" i="8"/>
  <c r="P135" i="8"/>
  <c r="R135" i="8"/>
  <c r="J136" i="8"/>
  <c r="K136" i="8"/>
  <c r="P136" i="8"/>
  <c r="R136" i="8"/>
  <c r="J126" i="8"/>
  <c r="K126" i="8"/>
  <c r="P126" i="8"/>
  <c r="R126" i="8"/>
  <c r="J155" i="8"/>
  <c r="K155" i="8"/>
  <c r="P155" i="8"/>
  <c r="R155" i="8"/>
  <c r="J161" i="8"/>
  <c r="K161" i="8"/>
  <c r="P161" i="8"/>
  <c r="R161" i="8"/>
  <c r="J163" i="8"/>
  <c r="K163" i="8"/>
  <c r="P163" i="8"/>
  <c r="R163" i="8"/>
  <c r="J167" i="8"/>
  <c r="K167" i="8"/>
  <c r="P167" i="8"/>
  <c r="R167" i="8"/>
  <c r="J173" i="8"/>
  <c r="K173" i="8"/>
  <c r="P173" i="8"/>
  <c r="R173" i="8"/>
  <c r="J177" i="8"/>
  <c r="K177" i="8"/>
  <c r="P177" i="8"/>
  <c r="R177" i="8"/>
  <c r="J36" i="8"/>
  <c r="K36" i="8"/>
  <c r="P36" i="8"/>
  <c r="R36" i="8"/>
  <c r="J17" i="8"/>
  <c r="K17" i="8"/>
  <c r="P17" i="8"/>
  <c r="R17" i="8"/>
  <c r="J18" i="8"/>
  <c r="K18" i="8"/>
  <c r="P18" i="8"/>
  <c r="R18" i="8"/>
  <c r="J16" i="8"/>
  <c r="K16" i="8"/>
  <c r="P16" i="8"/>
  <c r="R16" i="8"/>
  <c r="J19" i="8"/>
  <c r="K19" i="8"/>
  <c r="P19" i="8"/>
  <c r="R19" i="8"/>
  <c r="J20" i="8"/>
  <c r="K20" i="8"/>
  <c r="P20" i="8"/>
  <c r="R20" i="8"/>
  <c r="J21" i="8"/>
  <c r="K21" i="8"/>
  <c r="P21" i="8"/>
  <c r="R21" i="8"/>
  <c r="J53" i="8"/>
  <c r="K53" i="8"/>
  <c r="P53" i="8"/>
  <c r="R53" i="8"/>
  <c r="J54" i="8"/>
  <c r="K54" i="8"/>
  <c r="P54" i="8"/>
  <c r="R54" i="8"/>
  <c r="J55" i="8"/>
  <c r="K55" i="8"/>
  <c r="P55" i="8"/>
  <c r="R55" i="8"/>
  <c r="J56" i="8"/>
  <c r="K56" i="8"/>
  <c r="P56" i="8"/>
  <c r="R56" i="8"/>
  <c r="J57" i="8"/>
  <c r="K57" i="8"/>
  <c r="P57" i="8"/>
  <c r="R57" i="8"/>
  <c r="J58" i="8"/>
  <c r="K58" i="8"/>
  <c r="P58" i="8"/>
  <c r="R58" i="8"/>
  <c r="J59" i="8"/>
  <c r="K59" i="8"/>
  <c r="P59" i="8"/>
  <c r="R59" i="8"/>
  <c r="J93" i="8"/>
  <c r="K93" i="8"/>
  <c r="P93" i="8"/>
  <c r="R93" i="8"/>
  <c r="J94" i="8"/>
  <c r="K94" i="8"/>
  <c r="P94" i="8"/>
  <c r="R94" i="8"/>
  <c r="J83" i="8"/>
  <c r="K83" i="8"/>
  <c r="P83" i="8"/>
  <c r="R83" i="8"/>
  <c r="J95" i="8"/>
  <c r="K95" i="8"/>
  <c r="P95" i="8"/>
  <c r="R95" i="8"/>
  <c r="J97" i="8"/>
  <c r="K97" i="8"/>
  <c r="P97" i="8"/>
  <c r="R97" i="8"/>
  <c r="J96" i="8"/>
  <c r="K96" i="8"/>
  <c r="P96" i="8"/>
  <c r="R96" i="8"/>
  <c r="J110" i="8"/>
  <c r="K110" i="8"/>
  <c r="P110" i="8"/>
  <c r="R110" i="8"/>
  <c r="J122" i="8"/>
  <c r="K122" i="8"/>
  <c r="P122" i="8"/>
  <c r="R122" i="8"/>
  <c r="J137" i="8"/>
  <c r="K137" i="8"/>
  <c r="P137" i="8"/>
  <c r="R137" i="8"/>
  <c r="J138" i="8"/>
  <c r="K138" i="8"/>
  <c r="P138" i="8"/>
  <c r="R138" i="8"/>
  <c r="J139" i="8"/>
  <c r="K139" i="8"/>
  <c r="P139" i="8"/>
  <c r="R139" i="8"/>
  <c r="J140" i="8"/>
  <c r="K140" i="8"/>
  <c r="P140" i="8"/>
  <c r="R140" i="8"/>
  <c r="J141" i="8"/>
  <c r="K141" i="8"/>
  <c r="P141" i="8"/>
  <c r="R141" i="8"/>
  <c r="J142" i="8"/>
  <c r="K142" i="8"/>
  <c r="P142" i="8"/>
  <c r="R142" i="8"/>
  <c r="J127" i="8"/>
  <c r="K127" i="8"/>
  <c r="P127" i="8"/>
  <c r="R127" i="8"/>
  <c r="J156" i="8"/>
  <c r="K156" i="8"/>
  <c r="P156" i="8"/>
  <c r="R156" i="8"/>
  <c r="J162" i="8"/>
  <c r="K162" i="8"/>
  <c r="P162" i="8"/>
  <c r="R162" i="8"/>
  <c r="J164" i="8"/>
  <c r="K164" i="8"/>
  <c r="P164" i="8"/>
  <c r="R164" i="8"/>
  <c r="J168" i="8"/>
  <c r="K168" i="8"/>
  <c r="P168" i="8"/>
  <c r="R168" i="8"/>
  <c r="J174" i="8"/>
  <c r="K174" i="8"/>
  <c r="P174" i="8"/>
  <c r="R174" i="8"/>
  <c r="J178" i="8"/>
  <c r="K178" i="8"/>
  <c r="P178" i="8"/>
  <c r="R178" i="8"/>
  <c r="J37" i="8"/>
  <c r="K37" i="8"/>
  <c r="P37" i="8"/>
  <c r="R37" i="8"/>
  <c r="J22" i="8"/>
  <c r="K22" i="8"/>
  <c r="P22" i="8"/>
  <c r="R22" i="8"/>
  <c r="J23" i="8"/>
  <c r="K23" i="8"/>
  <c r="P23" i="8"/>
  <c r="R23" i="8"/>
  <c r="J24" i="8"/>
  <c r="K24" i="8"/>
  <c r="P24" i="8"/>
  <c r="R24" i="8"/>
  <c r="J25" i="8"/>
  <c r="K25" i="8"/>
  <c r="P25" i="8"/>
  <c r="R25" i="8"/>
  <c r="J26" i="8"/>
  <c r="K26" i="8"/>
  <c r="P26" i="8"/>
  <c r="R26" i="8"/>
  <c r="J27" i="8"/>
  <c r="K27" i="8"/>
  <c r="P27" i="8"/>
  <c r="R27" i="8"/>
  <c r="J60" i="8"/>
  <c r="K60" i="8"/>
  <c r="P60" i="8"/>
  <c r="R60" i="8"/>
  <c r="J61" i="8"/>
  <c r="K61" i="8"/>
  <c r="P61" i="8"/>
  <c r="R61" i="8"/>
  <c r="J62" i="8"/>
  <c r="K62" i="8"/>
  <c r="P62" i="8"/>
  <c r="R62" i="8"/>
  <c r="J63" i="8"/>
  <c r="K63" i="8"/>
  <c r="P63" i="8"/>
  <c r="R63" i="8"/>
  <c r="J64" i="8"/>
  <c r="K64" i="8"/>
  <c r="P64" i="8"/>
  <c r="R64" i="8"/>
  <c r="J65" i="8"/>
  <c r="K65" i="8"/>
  <c r="P65" i="8"/>
  <c r="R65" i="8"/>
  <c r="J66" i="8"/>
  <c r="K66" i="8"/>
  <c r="P66" i="8"/>
  <c r="R66" i="8"/>
  <c r="J99" i="8"/>
  <c r="K99" i="8"/>
  <c r="P99" i="8"/>
  <c r="R99" i="8"/>
  <c r="J100" i="8"/>
  <c r="K100" i="8"/>
  <c r="P100" i="8"/>
  <c r="R100" i="8"/>
  <c r="J101" i="8"/>
  <c r="K101" i="8"/>
  <c r="P101" i="8"/>
  <c r="R101" i="8"/>
  <c r="J102" i="8"/>
  <c r="K102" i="8"/>
  <c r="P102" i="8"/>
  <c r="R102" i="8"/>
  <c r="J103" i="8"/>
  <c r="K103" i="8"/>
  <c r="P103" i="8"/>
  <c r="R103" i="8"/>
  <c r="J104" i="8"/>
  <c r="K104" i="8"/>
  <c r="P104" i="8"/>
  <c r="R104" i="8"/>
  <c r="J105" i="8"/>
  <c r="K105" i="8"/>
  <c r="P105" i="8"/>
  <c r="R105" i="8"/>
  <c r="J123" i="8"/>
  <c r="K123" i="8"/>
  <c r="P123" i="8"/>
  <c r="R123" i="8"/>
  <c r="J143" i="8"/>
  <c r="K143" i="8"/>
  <c r="P143" i="8"/>
  <c r="R143" i="8"/>
  <c r="J144" i="8"/>
  <c r="K144" i="8"/>
  <c r="P144" i="8"/>
  <c r="R144" i="8"/>
  <c r="J145" i="8"/>
  <c r="K145" i="8"/>
  <c r="P145" i="8"/>
  <c r="R145" i="8"/>
  <c r="J146" i="8"/>
  <c r="K146" i="8"/>
  <c r="P146" i="8"/>
  <c r="R146" i="8"/>
  <c r="J147" i="8"/>
  <c r="K147" i="8"/>
  <c r="P147" i="8"/>
  <c r="R147" i="8"/>
  <c r="J148" i="8"/>
  <c r="K148" i="8"/>
  <c r="P148" i="8"/>
  <c r="R148" i="8"/>
  <c r="J128" i="8"/>
  <c r="K128" i="8"/>
  <c r="P128" i="8"/>
  <c r="R128" i="8"/>
  <c r="J157" i="8"/>
  <c r="K157" i="8"/>
  <c r="P157" i="8"/>
  <c r="R157" i="8"/>
  <c r="J159" i="8"/>
  <c r="K159" i="8"/>
  <c r="P159" i="8"/>
  <c r="R159" i="8"/>
  <c r="J165" i="8"/>
  <c r="K165" i="8"/>
  <c r="P165" i="8"/>
  <c r="R165" i="8"/>
  <c r="J169" i="8"/>
  <c r="K169" i="8"/>
  <c r="P169" i="8"/>
  <c r="R169" i="8"/>
  <c r="J175" i="8"/>
  <c r="K175" i="8"/>
  <c r="P175" i="8"/>
  <c r="R175" i="8"/>
  <c r="J171" i="8"/>
  <c r="K171" i="8"/>
  <c r="P171" i="8"/>
  <c r="R171" i="8"/>
  <c r="J38" i="8"/>
  <c r="K38" i="8"/>
  <c r="P38" i="8"/>
  <c r="R38" i="8"/>
  <c r="J29" i="8"/>
  <c r="K29" i="8"/>
  <c r="P29" i="8"/>
  <c r="R29" i="8"/>
  <c r="J30" i="8"/>
  <c r="K30" i="8"/>
  <c r="P30" i="8"/>
  <c r="R30" i="8"/>
  <c r="J28" i="8"/>
  <c r="K28" i="8"/>
  <c r="P28" i="8"/>
  <c r="R28" i="8"/>
  <c r="J31" i="8"/>
  <c r="K31" i="8"/>
  <c r="P31" i="8"/>
  <c r="R31" i="8"/>
  <c r="J32" i="8"/>
  <c r="K32" i="8"/>
  <c r="P32" i="8"/>
  <c r="R32" i="8"/>
  <c r="J33" i="8"/>
  <c r="K33" i="8"/>
  <c r="P33" i="8"/>
  <c r="R33" i="8"/>
  <c r="J67" i="8"/>
  <c r="K67" i="8"/>
  <c r="P67" i="8"/>
  <c r="R67" i="8"/>
  <c r="J68" i="8"/>
  <c r="K68" i="8"/>
  <c r="P68" i="8"/>
  <c r="R68" i="8"/>
  <c r="J69" i="8"/>
  <c r="K69" i="8"/>
  <c r="P69" i="8"/>
  <c r="R69" i="8"/>
  <c r="J70" i="8"/>
  <c r="K70" i="8"/>
  <c r="P70" i="8"/>
  <c r="R70" i="8"/>
  <c r="J71" i="8"/>
  <c r="K71" i="8"/>
  <c r="P71" i="8"/>
  <c r="R71" i="8"/>
  <c r="J72" i="8"/>
  <c r="K72" i="8"/>
  <c r="P72" i="8"/>
  <c r="R72" i="8"/>
  <c r="J73" i="8"/>
  <c r="K73" i="8"/>
  <c r="P73" i="8"/>
  <c r="R73" i="8"/>
  <c r="J107" i="8"/>
  <c r="K107" i="8"/>
  <c r="P107" i="8"/>
  <c r="R107" i="8"/>
  <c r="J108" i="8"/>
  <c r="K108" i="8"/>
  <c r="P108" i="8"/>
  <c r="R108" i="8"/>
  <c r="J84" i="8"/>
  <c r="K84" i="8"/>
  <c r="P84" i="8"/>
  <c r="R84" i="8"/>
  <c r="J109" i="8"/>
  <c r="K109" i="8"/>
  <c r="P109" i="8"/>
  <c r="R109" i="8"/>
  <c r="J98" i="8"/>
  <c r="K98" i="8"/>
  <c r="P98" i="8"/>
  <c r="R98" i="8"/>
  <c r="J111" i="8"/>
  <c r="K111" i="8"/>
  <c r="P111" i="8"/>
  <c r="R111" i="8"/>
  <c r="J112" i="8"/>
  <c r="K112" i="8"/>
  <c r="P112" i="8"/>
  <c r="R112" i="8"/>
  <c r="J124" i="8"/>
  <c r="K124" i="8"/>
  <c r="P124" i="8"/>
  <c r="R124" i="8"/>
  <c r="J149" i="8"/>
  <c r="K149" i="8"/>
  <c r="P149" i="8"/>
  <c r="R149" i="8"/>
  <c r="J150" i="8"/>
  <c r="K150" i="8"/>
  <c r="P150" i="8"/>
  <c r="R150" i="8"/>
  <c r="J151" i="8"/>
  <c r="K151" i="8"/>
  <c r="P151" i="8"/>
  <c r="R151" i="8"/>
  <c r="J152" i="8"/>
  <c r="K152" i="8"/>
  <c r="P152" i="8"/>
  <c r="R152" i="8"/>
  <c r="J153" i="8"/>
  <c r="K153" i="8"/>
  <c r="P153" i="8"/>
  <c r="R153" i="8"/>
  <c r="J154" i="8"/>
  <c r="K154" i="8"/>
  <c r="P154" i="8"/>
  <c r="R154" i="8"/>
  <c r="J125" i="8"/>
  <c r="K125" i="8"/>
  <c r="P125" i="8"/>
  <c r="R125" i="8"/>
  <c r="J158" i="8"/>
  <c r="K158" i="8"/>
  <c r="P158" i="8"/>
  <c r="R158" i="8"/>
  <c r="J160" i="8"/>
  <c r="K160" i="8"/>
  <c r="P160" i="8"/>
  <c r="R160" i="8"/>
  <c r="J166" i="8"/>
  <c r="K166" i="8"/>
  <c r="P166" i="8"/>
  <c r="R166" i="8"/>
  <c r="J170" i="8"/>
  <c r="K170" i="8"/>
  <c r="P170" i="8"/>
  <c r="R170" i="8"/>
  <c r="J176" i="8"/>
  <c r="K176" i="8"/>
  <c r="P176" i="8"/>
  <c r="R176" i="8"/>
  <c r="J172" i="8"/>
  <c r="K172" i="8"/>
  <c r="P172" i="8"/>
  <c r="R172" i="8"/>
  <c r="C8" i="3"/>
  <c r="C9" i="3" s="1"/>
  <c r="C7" i="3"/>
  <c r="K4" i="8"/>
  <c r="K5" i="8"/>
  <c r="K8" i="8"/>
  <c r="K6" i="8"/>
  <c r="K7" i="8"/>
  <c r="K9" i="8"/>
  <c r="K34" i="8"/>
  <c r="R4" i="8"/>
  <c r="R5" i="8"/>
  <c r="R8" i="8"/>
  <c r="R6" i="8"/>
  <c r="R7" i="8"/>
  <c r="R9" i="8"/>
  <c r="R34" i="8"/>
  <c r="P5" i="8"/>
  <c r="P8" i="8"/>
  <c r="P6" i="8"/>
  <c r="P7" i="8"/>
  <c r="P9" i="8"/>
  <c r="P4" i="8"/>
  <c r="P34" i="8"/>
  <c r="J4" i="8"/>
  <c r="J5" i="8"/>
  <c r="J8" i="8"/>
  <c r="J6" i="8"/>
  <c r="J7" i="8"/>
  <c r="J9" i="8"/>
  <c r="J34" i="8"/>
  <c r="C5" i="8"/>
  <c r="C4" i="8"/>
  <c r="C18" i="8"/>
  <c r="L40" i="8" s="1"/>
  <c r="C8" i="8"/>
  <c r="C9" i="8" s="1"/>
  <c r="G4" i="3"/>
  <c r="I4" i="3" s="1"/>
  <c r="G5" i="3"/>
  <c r="H5" i="3" s="1"/>
  <c r="I5" i="3" s="1"/>
  <c r="G6" i="3"/>
  <c r="H6" i="3" s="1"/>
  <c r="I6" i="3" s="1"/>
  <c r="G7" i="3"/>
  <c r="H7" i="3" s="1"/>
  <c r="I7" i="3" s="1"/>
  <c r="G8" i="3"/>
  <c r="H8" i="3" s="1"/>
  <c r="I8" i="3" s="1"/>
  <c r="G9" i="3"/>
  <c r="H9" i="3" s="1"/>
  <c r="I9" i="3" s="1"/>
  <c r="G10" i="3"/>
  <c r="H10" i="3" s="1"/>
  <c r="I10" i="3" s="1"/>
  <c r="G11" i="3"/>
  <c r="H11" i="3" s="1"/>
  <c r="I11" i="3" s="1"/>
  <c r="G12" i="3"/>
  <c r="H12" i="3" s="1"/>
  <c r="I12" i="3" s="1"/>
  <c r="G13" i="3"/>
  <c r="H13" i="3" s="1"/>
  <c r="I13" i="3" s="1"/>
  <c r="G3" i="3"/>
  <c r="H3" i="3" s="1"/>
  <c r="I3" i="3" s="1"/>
  <c r="O10" i="12" l="1"/>
  <c r="O11" i="12" s="1"/>
  <c r="O12" i="12" s="1"/>
  <c r="O13" i="12" s="1"/>
  <c r="Q11" i="12"/>
  <c r="Q12" i="12" s="1"/>
  <c r="Q13" i="12" s="1"/>
  <c r="I10" i="12"/>
  <c r="I11" i="12" s="1"/>
  <c r="I12" i="12" s="1"/>
  <c r="K11" i="12"/>
  <c r="K12" i="12" s="1"/>
  <c r="K13" i="12" s="1"/>
  <c r="K14" i="12" s="1"/>
  <c r="E33" i="12"/>
  <c r="E34" i="12" s="1"/>
  <c r="Q25" i="12" s="1"/>
  <c r="Q24" i="12" s="1"/>
  <c r="F17" i="12"/>
  <c r="F18" i="12" s="1"/>
  <c r="D15" i="12"/>
  <c r="C33" i="12"/>
  <c r="C34" i="12" s="1"/>
  <c r="I24" i="12" s="1"/>
  <c r="J24" i="12" s="1"/>
  <c r="Q26" i="12"/>
  <c r="Q27" i="12" s="1"/>
  <c r="R25" i="12"/>
  <c r="E17" i="12"/>
  <c r="E18" i="12" s="1"/>
  <c r="D33" i="12"/>
  <c r="D34" i="12" s="1"/>
  <c r="M25" i="12" s="1"/>
  <c r="M24" i="12" s="1"/>
  <c r="N24" i="12" s="1"/>
  <c r="D17" i="12"/>
  <c r="D18" i="12" s="1"/>
  <c r="C17" i="12"/>
  <c r="C18" i="12" s="1"/>
  <c r="I23" i="12"/>
  <c r="J23" i="12" s="1"/>
  <c r="L161" i="8"/>
  <c r="O15" i="8"/>
  <c r="T15" i="8" s="1"/>
  <c r="M92" i="8"/>
  <c r="N92" i="8" s="1"/>
  <c r="M33" i="8"/>
  <c r="N33" i="8" s="1"/>
  <c r="O101" i="8"/>
  <c r="T101" i="8" s="1"/>
  <c r="L159" i="8"/>
  <c r="L156" i="8"/>
  <c r="M19" i="8"/>
  <c r="N19" i="8" s="1"/>
  <c r="L129" i="8"/>
  <c r="M97" i="8"/>
  <c r="N97" i="8" s="1"/>
  <c r="O75" i="8"/>
  <c r="T75" i="8" s="1"/>
  <c r="L108" i="8"/>
  <c r="M146" i="8"/>
  <c r="N146" i="8" s="1"/>
  <c r="O59" i="8"/>
  <c r="T59" i="8" s="1"/>
  <c r="L55" i="8"/>
  <c r="M118" i="8"/>
  <c r="N118" i="8" s="1"/>
  <c r="L39" i="8"/>
  <c r="O29" i="8"/>
  <c r="T29" i="8" s="1"/>
  <c r="L166" i="8"/>
  <c r="O128" i="8"/>
  <c r="T128" i="8" s="1"/>
  <c r="M104" i="8"/>
  <c r="N104" i="8" s="1"/>
  <c r="O61" i="8"/>
  <c r="O53" i="8"/>
  <c r="T53" i="8" s="1"/>
  <c r="M163" i="8"/>
  <c r="N163" i="8" s="1"/>
  <c r="O131" i="8"/>
  <c r="T131" i="8" s="1"/>
  <c r="O81" i="8"/>
  <c r="T81" i="8" s="1"/>
  <c r="M42" i="8"/>
  <c r="N42" i="8" s="1"/>
  <c r="O158" i="8"/>
  <c r="T158" i="8" s="1"/>
  <c r="M112" i="8"/>
  <c r="N112" i="8" s="1"/>
  <c r="O69" i="8"/>
  <c r="T69" i="8" s="1"/>
  <c r="L61" i="8"/>
  <c r="M178" i="8"/>
  <c r="N178" i="8" s="1"/>
  <c r="O122" i="8"/>
  <c r="T122" i="8" s="1"/>
  <c r="L131" i="8"/>
  <c r="M48" i="8"/>
  <c r="N48" i="8" s="1"/>
  <c r="O35" i="8"/>
  <c r="T35" i="8" s="1"/>
  <c r="O67" i="8"/>
  <c r="T67" i="8" s="1"/>
  <c r="M175" i="8"/>
  <c r="N175" i="8" s="1"/>
  <c r="L145" i="8"/>
  <c r="L122" i="8"/>
  <c r="M58" i="8"/>
  <c r="N58" i="8" s="1"/>
  <c r="L17" i="8"/>
  <c r="L35" i="8"/>
  <c r="M115" i="8"/>
  <c r="N115" i="8" s="1"/>
  <c r="L77" i="8"/>
  <c r="M170" i="8"/>
  <c r="N170" i="8" s="1"/>
  <c r="O150" i="8"/>
  <c r="T150" i="8" s="1"/>
  <c r="L143" i="8"/>
  <c r="M64" i="8"/>
  <c r="N64" i="8" s="1"/>
  <c r="L23" i="8"/>
  <c r="O177" i="8"/>
  <c r="T177" i="8" s="1"/>
  <c r="M134" i="8"/>
  <c r="N134" i="8" s="1"/>
  <c r="O85" i="8"/>
  <c r="T85" i="8" s="1"/>
  <c r="O45" i="8"/>
  <c r="T45" i="8" s="1"/>
  <c r="L150" i="8"/>
  <c r="M72" i="8"/>
  <c r="N72" i="8" s="1"/>
  <c r="L28" i="8"/>
  <c r="O37" i="8"/>
  <c r="T37" i="8" s="1"/>
  <c r="M141" i="8"/>
  <c r="N141" i="8" s="1"/>
  <c r="O94" i="8"/>
  <c r="T94" i="8" s="1"/>
  <c r="L85" i="8"/>
  <c r="M14" i="8"/>
  <c r="N14" i="8" s="1"/>
  <c r="O129" i="8"/>
  <c r="T129" i="8" s="1"/>
  <c r="M125" i="8"/>
  <c r="N125" i="8" s="1"/>
  <c r="O108" i="8"/>
  <c r="T108" i="8" s="1"/>
  <c r="L101" i="8"/>
  <c r="M24" i="8"/>
  <c r="N24" i="8" s="1"/>
  <c r="O156" i="8"/>
  <c r="T156" i="8" s="1"/>
  <c r="L126" i="8"/>
  <c r="M88" i="8"/>
  <c r="N88" i="8" s="1"/>
  <c r="L47" i="8"/>
  <c r="L158" i="8"/>
  <c r="M151" i="8"/>
  <c r="N151" i="8" s="1"/>
  <c r="O124" i="8"/>
  <c r="T124" i="8" s="1"/>
  <c r="L67" i="8"/>
  <c r="M31" i="8"/>
  <c r="N31" i="8" s="1"/>
  <c r="O171" i="8"/>
  <c r="T171" i="8" s="1"/>
  <c r="O105" i="8"/>
  <c r="T105" i="8" s="1"/>
  <c r="M102" i="8"/>
  <c r="N102" i="8" s="1"/>
  <c r="L99" i="8"/>
  <c r="L37" i="8"/>
  <c r="M162" i="8"/>
  <c r="N162" i="8" s="1"/>
  <c r="O142" i="8"/>
  <c r="T142" i="8" s="1"/>
  <c r="L59" i="8"/>
  <c r="M56" i="8"/>
  <c r="N56" i="8" s="1"/>
  <c r="O20" i="8"/>
  <c r="O135" i="8"/>
  <c r="T135" i="8" s="1"/>
  <c r="M132" i="8"/>
  <c r="N132" i="8" s="1"/>
  <c r="L91" i="8"/>
  <c r="L15" i="8"/>
  <c r="M10" i="8"/>
  <c r="N10" i="8" s="1"/>
  <c r="O120" i="8"/>
  <c r="T120" i="8" s="1"/>
  <c r="L81" i="8"/>
  <c r="M82" i="8"/>
  <c r="N82" i="8" s="1"/>
  <c r="O43" i="8"/>
  <c r="T43" i="8" s="1"/>
  <c r="L124" i="8"/>
  <c r="M84" i="8"/>
  <c r="N84" i="8" s="1"/>
  <c r="O73" i="8"/>
  <c r="T73" i="8" s="1"/>
  <c r="L171" i="8"/>
  <c r="M165" i="8"/>
  <c r="N165" i="8" s="1"/>
  <c r="O147" i="8"/>
  <c r="T147" i="8" s="1"/>
  <c r="O65" i="8"/>
  <c r="T65" i="8" s="1"/>
  <c r="M62" i="8"/>
  <c r="N62" i="8" s="1"/>
  <c r="L27" i="8"/>
  <c r="L142" i="8"/>
  <c r="M137" i="8"/>
  <c r="N137" i="8" s="1"/>
  <c r="O96" i="8"/>
  <c r="T96" i="8" s="1"/>
  <c r="L20" i="8"/>
  <c r="M18" i="8"/>
  <c r="N18" i="8" s="1"/>
  <c r="O167" i="8"/>
  <c r="T167" i="8" s="1"/>
  <c r="O89" i="8"/>
  <c r="T89" i="8" s="1"/>
  <c r="M86" i="8"/>
  <c r="N86" i="8" s="1"/>
  <c r="L51" i="8"/>
  <c r="L120" i="8"/>
  <c r="M76" i="8"/>
  <c r="N76" i="8" s="1"/>
  <c r="O117" i="8"/>
  <c r="T117" i="8" s="1"/>
  <c r="L43" i="8"/>
  <c r="M40" i="8"/>
  <c r="N40" i="8" s="1"/>
  <c r="O176" i="8"/>
  <c r="T176" i="8" s="1"/>
  <c r="M160" i="8"/>
  <c r="N160" i="8" s="1"/>
  <c r="L154" i="8"/>
  <c r="L73" i="8"/>
  <c r="M68" i="8"/>
  <c r="N68" i="8" s="1"/>
  <c r="O32" i="8"/>
  <c r="T32" i="8" s="1"/>
  <c r="L147" i="8"/>
  <c r="M144" i="8"/>
  <c r="N144" i="8" s="1"/>
  <c r="O103" i="8"/>
  <c r="T103" i="8" s="1"/>
  <c r="O25" i="8"/>
  <c r="T25" i="8" s="1"/>
  <c r="M22" i="8"/>
  <c r="L174" i="8"/>
  <c r="L96" i="8"/>
  <c r="M93" i="8"/>
  <c r="N93" i="8" s="1"/>
  <c r="O57" i="8"/>
  <c r="T57" i="8" s="1"/>
  <c r="L167" i="8"/>
  <c r="M155" i="8"/>
  <c r="N155" i="8" s="1"/>
  <c r="O133" i="8"/>
  <c r="O49" i="8"/>
  <c r="M46" i="8"/>
  <c r="N46" i="8" s="1"/>
  <c r="L13" i="8"/>
  <c r="L117" i="8"/>
  <c r="M106" i="8"/>
  <c r="N106" i="8" s="1"/>
  <c r="O80" i="8"/>
  <c r="T80" i="8" s="1"/>
  <c r="O152" i="8"/>
  <c r="T152" i="8" s="1"/>
  <c r="M149" i="8"/>
  <c r="N149" i="8" s="1"/>
  <c r="L111" i="8"/>
  <c r="L32" i="8"/>
  <c r="M38" i="8"/>
  <c r="N38" i="8" s="1"/>
  <c r="O169" i="8"/>
  <c r="T169" i="8" s="1"/>
  <c r="L103" i="8"/>
  <c r="M100" i="8"/>
  <c r="N100" i="8" s="1"/>
  <c r="O63" i="8"/>
  <c r="T63" i="8" s="1"/>
  <c r="O164" i="8"/>
  <c r="T164" i="8" s="1"/>
  <c r="M127" i="8"/>
  <c r="N127" i="8" s="1"/>
  <c r="L140" i="8"/>
  <c r="L57" i="8"/>
  <c r="M21" i="8"/>
  <c r="N21" i="8" s="1"/>
  <c r="O16" i="8"/>
  <c r="T16" i="8" s="1"/>
  <c r="L133" i="8"/>
  <c r="M121" i="8"/>
  <c r="N121" i="8" s="1"/>
  <c r="O87" i="8"/>
  <c r="T87" i="8" s="1"/>
  <c r="O11" i="8"/>
  <c r="T11" i="8" s="1"/>
  <c r="M130" i="8"/>
  <c r="N130" i="8" s="1"/>
  <c r="L116" i="8"/>
  <c r="L80" i="8"/>
  <c r="M44" i="8"/>
  <c r="N44" i="8" s="1"/>
  <c r="O41" i="8"/>
  <c r="O166" i="8"/>
  <c r="T166" i="8" s="1"/>
  <c r="O109" i="8"/>
  <c r="T109" i="8" s="1"/>
  <c r="M107" i="8"/>
  <c r="N107" i="8" s="1"/>
  <c r="L71" i="8"/>
  <c r="L169" i="8"/>
  <c r="M148" i="8"/>
  <c r="N148" i="8" s="1"/>
  <c r="O145" i="8"/>
  <c r="T145" i="8" s="1"/>
  <c r="L63" i="8"/>
  <c r="M60" i="8"/>
  <c r="N60" i="8" s="1"/>
  <c r="O23" i="8"/>
  <c r="T23" i="8" s="1"/>
  <c r="O138" i="8"/>
  <c r="T138" i="8" s="1"/>
  <c r="M110" i="8"/>
  <c r="N110" i="8" s="1"/>
  <c r="L95" i="8"/>
  <c r="L16" i="8"/>
  <c r="M173" i="8"/>
  <c r="N173" i="8" s="1"/>
  <c r="O161" i="8"/>
  <c r="T161" i="8" s="1"/>
  <c r="L87" i="8"/>
  <c r="M52" i="8"/>
  <c r="N52" i="8" s="1"/>
  <c r="O47" i="8"/>
  <c r="T47" i="8" s="1"/>
  <c r="O79" i="8"/>
  <c r="T79" i="8" s="1"/>
  <c r="M119" i="8"/>
  <c r="N119" i="8" s="1"/>
  <c r="L113" i="8"/>
  <c r="L41" i="8"/>
  <c r="O170" i="8"/>
  <c r="T170" i="8" s="1"/>
  <c r="M166" i="8"/>
  <c r="N166" i="8" s="1"/>
  <c r="L160" i="8"/>
  <c r="O151" i="8"/>
  <c r="Q151" i="8" s="1"/>
  <c r="M150" i="8"/>
  <c r="N150" i="8" s="1"/>
  <c r="L149" i="8"/>
  <c r="O84" i="8"/>
  <c r="M108" i="8"/>
  <c r="N108" i="8" s="1"/>
  <c r="L107" i="8"/>
  <c r="O68" i="8"/>
  <c r="M67" i="8"/>
  <c r="N67" i="8" s="1"/>
  <c r="L33" i="8"/>
  <c r="O38" i="8"/>
  <c r="M171" i="8"/>
  <c r="N171" i="8" s="1"/>
  <c r="L175" i="8"/>
  <c r="O148" i="8"/>
  <c r="M147" i="8"/>
  <c r="N147" i="8" s="1"/>
  <c r="L146" i="8"/>
  <c r="O104" i="8"/>
  <c r="M103" i="8"/>
  <c r="N103" i="8" s="1"/>
  <c r="L102" i="8"/>
  <c r="O64" i="8"/>
  <c r="T64" i="8" s="1"/>
  <c r="M63" i="8"/>
  <c r="N63" i="8" s="1"/>
  <c r="L62" i="8"/>
  <c r="O24" i="8"/>
  <c r="T24" i="8" s="1"/>
  <c r="M23" i="8"/>
  <c r="N23" i="8" s="1"/>
  <c r="L22" i="8"/>
  <c r="O162" i="8"/>
  <c r="T162" i="8" s="1"/>
  <c r="M156" i="8"/>
  <c r="N156" i="8" s="1"/>
  <c r="L127" i="8"/>
  <c r="O137" i="8"/>
  <c r="T137" i="8" s="1"/>
  <c r="M122" i="8"/>
  <c r="N122" i="8" s="1"/>
  <c r="L110" i="8"/>
  <c r="O93" i="8"/>
  <c r="T93" i="8" s="1"/>
  <c r="M59" i="8"/>
  <c r="N59" i="8" s="1"/>
  <c r="L58" i="8"/>
  <c r="O21" i="8"/>
  <c r="T21" i="8" s="1"/>
  <c r="M20" i="8"/>
  <c r="N20" i="8" s="1"/>
  <c r="L19" i="8"/>
  <c r="O173" i="8"/>
  <c r="T173" i="8" s="1"/>
  <c r="M167" i="8"/>
  <c r="N167" i="8" s="1"/>
  <c r="L163" i="8"/>
  <c r="O134" i="8"/>
  <c r="T134" i="8" s="1"/>
  <c r="M133" i="8"/>
  <c r="N133" i="8" s="1"/>
  <c r="L132" i="8"/>
  <c r="O88" i="8"/>
  <c r="T88" i="8" s="1"/>
  <c r="M87" i="8"/>
  <c r="N87" i="8" s="1"/>
  <c r="L86" i="8"/>
  <c r="O48" i="8"/>
  <c r="T48" i="8" s="1"/>
  <c r="M47" i="8"/>
  <c r="N47" i="8" s="1"/>
  <c r="L46" i="8"/>
  <c r="O10" i="8"/>
  <c r="T10" i="8" s="1"/>
  <c r="M35" i="8"/>
  <c r="N35" i="8" s="1"/>
  <c r="L130" i="8"/>
  <c r="O76" i="8"/>
  <c r="T76" i="8" s="1"/>
  <c r="M129" i="8"/>
  <c r="N129" i="8" s="1"/>
  <c r="L119" i="8"/>
  <c r="O106" i="8"/>
  <c r="T106" i="8" s="1"/>
  <c r="M81" i="8"/>
  <c r="N81" i="8" s="1"/>
  <c r="L92" i="8"/>
  <c r="O44" i="8"/>
  <c r="T44" i="8" s="1"/>
  <c r="M43" i="8"/>
  <c r="N43" i="8" s="1"/>
  <c r="L42" i="8"/>
  <c r="M176" i="8"/>
  <c r="N176" i="8" s="1"/>
  <c r="L170" i="8"/>
  <c r="O153" i="8"/>
  <c r="T153" i="8" s="1"/>
  <c r="M152" i="8"/>
  <c r="N152" i="8" s="1"/>
  <c r="L151" i="8"/>
  <c r="O98" i="8"/>
  <c r="T98" i="8" s="1"/>
  <c r="M109" i="8"/>
  <c r="N109" i="8" s="1"/>
  <c r="L84" i="8"/>
  <c r="O70" i="8"/>
  <c r="T70" i="8" s="1"/>
  <c r="M69" i="8"/>
  <c r="N69" i="8" s="1"/>
  <c r="L68" i="8"/>
  <c r="O30" i="8"/>
  <c r="T30" i="8" s="1"/>
  <c r="M29" i="8"/>
  <c r="N29" i="8" s="1"/>
  <c r="L38" i="8"/>
  <c r="O157" i="8"/>
  <c r="T157" i="8" s="1"/>
  <c r="M128" i="8"/>
  <c r="N128" i="8" s="1"/>
  <c r="L148" i="8"/>
  <c r="O123" i="8"/>
  <c r="T123" i="8" s="1"/>
  <c r="M105" i="8"/>
  <c r="N105" i="8" s="1"/>
  <c r="L104" i="8"/>
  <c r="O66" i="8"/>
  <c r="M65" i="8"/>
  <c r="N65" i="8" s="1"/>
  <c r="L64" i="8"/>
  <c r="O26" i="8"/>
  <c r="T26" i="8" s="1"/>
  <c r="M25" i="8"/>
  <c r="N25" i="8" s="1"/>
  <c r="L24" i="8"/>
  <c r="O168" i="8"/>
  <c r="T168" i="8" s="1"/>
  <c r="M164" i="8"/>
  <c r="N164" i="8" s="1"/>
  <c r="L162" i="8"/>
  <c r="O139" i="8"/>
  <c r="M138" i="8"/>
  <c r="N138" i="8" s="1"/>
  <c r="L137" i="8"/>
  <c r="O83" i="8"/>
  <c r="T83" i="8" s="1"/>
  <c r="M94" i="8"/>
  <c r="N94" i="8" s="1"/>
  <c r="L93" i="8"/>
  <c r="O54" i="8"/>
  <c r="M53" i="8"/>
  <c r="N53" i="8" s="1"/>
  <c r="L21" i="8"/>
  <c r="O36" i="8"/>
  <c r="M177" i="8"/>
  <c r="N177" i="8" s="1"/>
  <c r="L173" i="8"/>
  <c r="O136" i="8"/>
  <c r="T136" i="8" s="1"/>
  <c r="M135" i="8"/>
  <c r="N135" i="8" s="1"/>
  <c r="L134" i="8"/>
  <c r="O90" i="8"/>
  <c r="M89" i="8"/>
  <c r="N89" i="8" s="1"/>
  <c r="L88" i="8"/>
  <c r="O50" i="8"/>
  <c r="T50" i="8" s="1"/>
  <c r="M49" i="8"/>
  <c r="N49" i="8" s="1"/>
  <c r="L48" i="8"/>
  <c r="O12" i="8"/>
  <c r="T12" i="8" s="1"/>
  <c r="M11" i="8"/>
  <c r="N11" i="8" s="1"/>
  <c r="L10" i="8"/>
  <c r="O114" i="8"/>
  <c r="M79" i="8"/>
  <c r="N79" i="8" s="1"/>
  <c r="L76" i="8"/>
  <c r="O78" i="8"/>
  <c r="M75" i="8"/>
  <c r="N75" i="8" s="1"/>
  <c r="L106" i="8"/>
  <c r="O74" i="8"/>
  <c r="M45" i="8"/>
  <c r="N45" i="8" s="1"/>
  <c r="L44" i="8"/>
  <c r="L176" i="8"/>
  <c r="O154" i="8"/>
  <c r="T154" i="8" s="1"/>
  <c r="M153" i="8"/>
  <c r="N153" i="8" s="1"/>
  <c r="L152" i="8"/>
  <c r="O111" i="8"/>
  <c r="T111" i="8" s="1"/>
  <c r="M98" i="8"/>
  <c r="N98" i="8" s="1"/>
  <c r="L109" i="8"/>
  <c r="O71" i="8"/>
  <c r="T71" i="8" s="1"/>
  <c r="M70" i="8"/>
  <c r="N70" i="8" s="1"/>
  <c r="L69" i="8"/>
  <c r="O28" i="8"/>
  <c r="T28" i="8" s="1"/>
  <c r="M30" i="8"/>
  <c r="N30" i="8" s="1"/>
  <c r="L29" i="8"/>
  <c r="O159" i="8"/>
  <c r="M157" i="8"/>
  <c r="N157" i="8" s="1"/>
  <c r="L128" i="8"/>
  <c r="O143" i="8"/>
  <c r="M123" i="8"/>
  <c r="N123" i="8" s="1"/>
  <c r="L105" i="8"/>
  <c r="O99" i="8"/>
  <c r="T99" i="8" s="1"/>
  <c r="M66" i="8"/>
  <c r="N66" i="8" s="1"/>
  <c r="L65" i="8"/>
  <c r="O27" i="8"/>
  <c r="T27" i="8" s="1"/>
  <c r="M26" i="8"/>
  <c r="N26" i="8" s="1"/>
  <c r="L25" i="8"/>
  <c r="O174" i="8"/>
  <c r="T174" i="8" s="1"/>
  <c r="M168" i="8"/>
  <c r="N168" i="8" s="1"/>
  <c r="L164" i="8"/>
  <c r="O140" i="8"/>
  <c r="T140" i="8" s="1"/>
  <c r="M139" i="8"/>
  <c r="N139" i="8" s="1"/>
  <c r="L138" i="8"/>
  <c r="O95" i="8"/>
  <c r="T95" i="8" s="1"/>
  <c r="M83" i="8"/>
  <c r="N83" i="8" s="1"/>
  <c r="L94" i="8"/>
  <c r="O55" i="8"/>
  <c r="M54" i="8"/>
  <c r="N54" i="8" s="1"/>
  <c r="L53" i="8"/>
  <c r="O17" i="8"/>
  <c r="T17" i="8" s="1"/>
  <c r="M36" i="8"/>
  <c r="N36" i="8" s="1"/>
  <c r="L177" i="8"/>
  <c r="O126" i="8"/>
  <c r="T126" i="8" s="1"/>
  <c r="M136" i="8"/>
  <c r="N136" i="8" s="1"/>
  <c r="L135" i="8"/>
  <c r="O91" i="8"/>
  <c r="M90" i="8"/>
  <c r="N90" i="8" s="1"/>
  <c r="L89" i="8"/>
  <c r="O51" i="8"/>
  <c r="T51" i="8" s="1"/>
  <c r="M50" i="8"/>
  <c r="N50" i="8" s="1"/>
  <c r="L49" i="8"/>
  <c r="O13" i="8"/>
  <c r="T13" i="8" s="1"/>
  <c r="M12" i="8"/>
  <c r="N12" i="8" s="1"/>
  <c r="L11" i="8"/>
  <c r="O116" i="8"/>
  <c r="T116" i="8" s="1"/>
  <c r="M114" i="8"/>
  <c r="N114" i="8" s="1"/>
  <c r="L79" i="8"/>
  <c r="O113" i="8"/>
  <c r="T113" i="8" s="1"/>
  <c r="M78" i="8"/>
  <c r="N78" i="8" s="1"/>
  <c r="L75" i="8"/>
  <c r="O77" i="8"/>
  <c r="M74" i="8"/>
  <c r="N74" i="8" s="1"/>
  <c r="L45" i="8"/>
  <c r="O39" i="8"/>
  <c r="T39" i="8" s="1"/>
  <c r="O125" i="8"/>
  <c r="T125" i="8" s="1"/>
  <c r="M154" i="8"/>
  <c r="L153" i="8"/>
  <c r="O112" i="8"/>
  <c r="T112" i="8" s="1"/>
  <c r="M111" i="8"/>
  <c r="N111" i="8" s="1"/>
  <c r="L98" i="8"/>
  <c r="O72" i="8"/>
  <c r="T72" i="8" s="1"/>
  <c r="M71" i="8"/>
  <c r="N71" i="8" s="1"/>
  <c r="L70" i="8"/>
  <c r="O31" i="8"/>
  <c r="T31" i="8" s="1"/>
  <c r="M28" i="8"/>
  <c r="N28" i="8" s="1"/>
  <c r="L30" i="8"/>
  <c r="O165" i="8"/>
  <c r="T165" i="8" s="1"/>
  <c r="M159" i="8"/>
  <c r="N159" i="8" s="1"/>
  <c r="L157" i="8"/>
  <c r="O144" i="8"/>
  <c r="M143" i="8"/>
  <c r="N143" i="8" s="1"/>
  <c r="L123" i="8"/>
  <c r="O100" i="8"/>
  <c r="T100" i="8" s="1"/>
  <c r="M99" i="8"/>
  <c r="N99" i="8" s="1"/>
  <c r="L66" i="8"/>
  <c r="O60" i="8"/>
  <c r="T60" i="8" s="1"/>
  <c r="M27" i="8"/>
  <c r="N27" i="8" s="1"/>
  <c r="L26" i="8"/>
  <c r="O178" i="8"/>
  <c r="T178" i="8" s="1"/>
  <c r="M174" i="8"/>
  <c r="N174" i="8" s="1"/>
  <c r="L168" i="8"/>
  <c r="O141" i="8"/>
  <c r="T141" i="8" s="1"/>
  <c r="M140" i="8"/>
  <c r="N140" i="8" s="1"/>
  <c r="L139" i="8"/>
  <c r="O97" i="8"/>
  <c r="T97" i="8" s="1"/>
  <c r="M95" i="8"/>
  <c r="N95" i="8" s="1"/>
  <c r="L83" i="8"/>
  <c r="O56" i="8"/>
  <c r="T56" i="8" s="1"/>
  <c r="M55" i="8"/>
  <c r="N55" i="8" s="1"/>
  <c r="L54" i="8"/>
  <c r="O18" i="8"/>
  <c r="T18" i="8" s="1"/>
  <c r="M17" i="8"/>
  <c r="N17" i="8" s="1"/>
  <c r="L36" i="8"/>
  <c r="O155" i="8"/>
  <c r="T155" i="8" s="1"/>
  <c r="M126" i="8"/>
  <c r="N126" i="8" s="1"/>
  <c r="L136" i="8"/>
  <c r="O121" i="8"/>
  <c r="T121" i="8" s="1"/>
  <c r="M91" i="8"/>
  <c r="N91" i="8" s="1"/>
  <c r="L90" i="8"/>
  <c r="O52" i="8"/>
  <c r="T52" i="8" s="1"/>
  <c r="M51" i="8"/>
  <c r="N51" i="8" s="1"/>
  <c r="L50" i="8"/>
  <c r="O14" i="8"/>
  <c r="T14" i="8" s="1"/>
  <c r="M13" i="8"/>
  <c r="N13" i="8" s="1"/>
  <c r="L12" i="8"/>
  <c r="O118" i="8"/>
  <c r="T118" i="8" s="1"/>
  <c r="M116" i="8"/>
  <c r="N116" i="8" s="1"/>
  <c r="L114" i="8"/>
  <c r="O115" i="8"/>
  <c r="T115" i="8" s="1"/>
  <c r="M113" i="8"/>
  <c r="N113" i="8" s="1"/>
  <c r="L78" i="8"/>
  <c r="O82" i="8"/>
  <c r="T82" i="8" s="1"/>
  <c r="M77" i="8"/>
  <c r="N77" i="8" s="1"/>
  <c r="L74" i="8"/>
  <c r="O40" i="8"/>
  <c r="T40" i="8" s="1"/>
  <c r="M39" i="8"/>
  <c r="N39" i="8" s="1"/>
  <c r="O160" i="8"/>
  <c r="T160" i="8" s="1"/>
  <c r="M158" i="8"/>
  <c r="N158" i="8" s="1"/>
  <c r="L125" i="8"/>
  <c r="O149" i="8"/>
  <c r="T149" i="8" s="1"/>
  <c r="M124" i="8"/>
  <c r="L112" i="8"/>
  <c r="O107" i="8"/>
  <c r="T107" i="8" s="1"/>
  <c r="M73" i="8"/>
  <c r="N73" i="8" s="1"/>
  <c r="L72" i="8"/>
  <c r="O33" i="8"/>
  <c r="M32" i="8"/>
  <c r="N32" i="8" s="1"/>
  <c r="L31" i="8"/>
  <c r="O175" i="8"/>
  <c r="T175" i="8" s="1"/>
  <c r="M169" i="8"/>
  <c r="N169" i="8" s="1"/>
  <c r="L165" i="8"/>
  <c r="O146" i="8"/>
  <c r="T146" i="8" s="1"/>
  <c r="M145" i="8"/>
  <c r="N145" i="8" s="1"/>
  <c r="L144" i="8"/>
  <c r="O102" i="8"/>
  <c r="T102" i="8" s="1"/>
  <c r="M101" i="8"/>
  <c r="N101" i="8" s="1"/>
  <c r="L100" i="8"/>
  <c r="O62" i="8"/>
  <c r="T62" i="8" s="1"/>
  <c r="M61" i="8"/>
  <c r="N61" i="8" s="1"/>
  <c r="L60" i="8"/>
  <c r="O22" i="8"/>
  <c r="T22" i="8" s="1"/>
  <c r="M37" i="8"/>
  <c r="N37" i="8" s="1"/>
  <c r="L178" i="8"/>
  <c r="O127" i="8"/>
  <c r="T127" i="8" s="1"/>
  <c r="M142" i="8"/>
  <c r="N142" i="8" s="1"/>
  <c r="L141" i="8"/>
  <c r="O110" i="8"/>
  <c r="T110" i="8" s="1"/>
  <c r="M96" i="8"/>
  <c r="N96" i="8" s="1"/>
  <c r="L97" i="8"/>
  <c r="O58" i="8"/>
  <c r="M57" i="8"/>
  <c r="N57" i="8" s="1"/>
  <c r="L56" i="8"/>
  <c r="O19" i="8"/>
  <c r="M16" i="8"/>
  <c r="N16" i="8" s="1"/>
  <c r="L18" i="8"/>
  <c r="O163" i="8"/>
  <c r="T163" i="8" s="1"/>
  <c r="M161" i="8"/>
  <c r="N161" i="8" s="1"/>
  <c r="L155" i="8"/>
  <c r="O132" i="8"/>
  <c r="M131" i="8"/>
  <c r="N131" i="8" s="1"/>
  <c r="L121" i="8"/>
  <c r="O86" i="8"/>
  <c r="T86" i="8" s="1"/>
  <c r="M85" i="8"/>
  <c r="N85" i="8" s="1"/>
  <c r="L52" i="8"/>
  <c r="O46" i="8"/>
  <c r="M15" i="8"/>
  <c r="N15" i="8" s="1"/>
  <c r="L14" i="8"/>
  <c r="O130" i="8"/>
  <c r="T130" i="8" s="1"/>
  <c r="M120" i="8"/>
  <c r="N120" i="8" s="1"/>
  <c r="L118" i="8"/>
  <c r="O119" i="8"/>
  <c r="M117" i="8"/>
  <c r="N117" i="8" s="1"/>
  <c r="L115" i="8"/>
  <c r="O92" i="8"/>
  <c r="T92" i="8" s="1"/>
  <c r="M80" i="8"/>
  <c r="N80" i="8" s="1"/>
  <c r="L82" i="8"/>
  <c r="O42" i="8"/>
  <c r="Q42" i="8" s="1"/>
  <c r="M41" i="8"/>
  <c r="N41" i="8" s="1"/>
  <c r="N22" i="8"/>
  <c r="L172" i="8"/>
  <c r="O172" i="8"/>
  <c r="M172" i="8"/>
  <c r="N172" i="8" s="1"/>
  <c r="L7" i="8"/>
  <c r="L34" i="8"/>
  <c r="L6" i="8"/>
  <c r="M34" i="8"/>
  <c r="N34" i="8" s="1"/>
  <c r="O9" i="8"/>
  <c r="L9" i="8"/>
  <c r="M9" i="8"/>
  <c r="N9" i="8" s="1"/>
  <c r="O7" i="8"/>
  <c r="C6" i="8"/>
  <c r="C7" i="8" s="1"/>
  <c r="L8" i="8"/>
  <c r="M8" i="8"/>
  <c r="N8" i="8" s="1"/>
  <c r="O5" i="8"/>
  <c r="L5" i="8"/>
  <c r="M5" i="8"/>
  <c r="N5" i="8" s="1"/>
  <c r="O4" i="8"/>
  <c r="O6" i="8"/>
  <c r="M6" i="8"/>
  <c r="N6" i="8" s="1"/>
  <c r="O8" i="8"/>
  <c r="L4" i="8"/>
  <c r="M4" i="8"/>
  <c r="N4" i="8" s="1"/>
  <c r="M7" i="8"/>
  <c r="N7" i="8" s="1"/>
  <c r="O34" i="8"/>
  <c r="R24" i="12" l="1"/>
  <c r="Q23" i="12"/>
  <c r="R23" i="12" s="1"/>
  <c r="I25" i="12"/>
  <c r="I26" i="12" s="1"/>
  <c r="J26" i="12" s="1"/>
  <c r="R26" i="12"/>
  <c r="M26" i="12"/>
  <c r="N25" i="12"/>
  <c r="Q28" i="12"/>
  <c r="R28" i="12" s="1"/>
  <c r="R27" i="12"/>
  <c r="Q49" i="8"/>
  <c r="Q171" i="8"/>
  <c r="T151" i="8"/>
  <c r="Q58" i="8"/>
  <c r="T49" i="8"/>
  <c r="Q84" i="8"/>
  <c r="Q10" i="8"/>
  <c r="Q68" i="8"/>
  <c r="Q46" i="8"/>
  <c r="Q148" i="8"/>
  <c r="Q177" i="8"/>
  <c r="M23" i="12"/>
  <c r="N23" i="12" s="1"/>
  <c r="M27" i="12"/>
  <c r="N26" i="12"/>
  <c r="Q22" i="8"/>
  <c r="Q63" i="8"/>
  <c r="T46" i="8"/>
  <c r="Q47" i="8"/>
  <c r="T68" i="8"/>
  <c r="Q19" i="8"/>
  <c r="Q160" i="8"/>
  <c r="Q152" i="8"/>
  <c r="T148" i="8"/>
  <c r="Q16" i="8"/>
  <c r="Q112" i="8"/>
  <c r="Q145" i="8"/>
  <c r="Q169" i="8"/>
  <c r="Q128" i="8"/>
  <c r="T84" i="8"/>
  <c r="Q141" i="8"/>
  <c r="Q106" i="8"/>
  <c r="Q154" i="8"/>
  <c r="Q38" i="8"/>
  <c r="Q108" i="8"/>
  <c r="Q12" i="8"/>
  <c r="Q62" i="8"/>
  <c r="Q115" i="8"/>
  <c r="Q33" i="8"/>
  <c r="Q104" i="8"/>
  <c r="Q118" i="8"/>
  <c r="Q173" i="8"/>
  <c r="Q91" i="8"/>
  <c r="Q41" i="8"/>
  <c r="Q20" i="8"/>
  <c r="Q61" i="8"/>
  <c r="T19" i="8"/>
  <c r="Q15" i="8"/>
  <c r="Q48" i="8"/>
  <c r="Q165" i="8"/>
  <c r="Q155" i="8"/>
  <c r="Q117" i="8"/>
  <c r="T41" i="8"/>
  <c r="Q60" i="8"/>
  <c r="Q144" i="8"/>
  <c r="Q159" i="8"/>
  <c r="Q74" i="8"/>
  <c r="Q54" i="8"/>
  <c r="Q133" i="8"/>
  <c r="T91" i="8"/>
  <c r="Q167" i="8"/>
  <c r="T20" i="8"/>
  <c r="Q161" i="8"/>
  <c r="Q123" i="8"/>
  <c r="Q24" i="8"/>
  <c r="Q170" i="8"/>
  <c r="Q146" i="8"/>
  <c r="T61" i="8"/>
  <c r="Q99" i="8"/>
  <c r="Q71" i="8"/>
  <c r="Q114" i="8"/>
  <c r="Q139" i="8"/>
  <c r="Q75" i="8"/>
  <c r="Q136" i="8"/>
  <c r="Q82" i="8"/>
  <c r="Q105" i="8"/>
  <c r="Q163" i="8"/>
  <c r="Q67" i="8"/>
  <c r="Q113" i="8"/>
  <c r="Q158" i="8"/>
  <c r="Q132" i="8"/>
  <c r="Q51" i="8"/>
  <c r="Q90" i="8"/>
  <c r="Q66" i="8"/>
  <c r="Q50" i="8"/>
  <c r="Q30" i="8"/>
  <c r="T104" i="8"/>
  <c r="Q39" i="8"/>
  <c r="T139" i="8"/>
  <c r="Q21" i="8"/>
  <c r="Q87" i="8"/>
  <c r="Q35" i="8"/>
  <c r="Q72" i="8"/>
  <c r="T54" i="8"/>
  <c r="Q86" i="8"/>
  <c r="T114" i="8"/>
  <c r="Q149" i="8"/>
  <c r="Q44" i="8"/>
  <c r="Q65" i="8"/>
  <c r="T159" i="8"/>
  <c r="N154" i="8"/>
  <c r="Q137" i="8"/>
  <c r="Q56" i="8"/>
  <c r="Q110" i="8"/>
  <c r="Q77" i="8"/>
  <c r="Q55" i="8"/>
  <c r="Q147" i="8"/>
  <c r="Q37" i="8"/>
  <c r="Q26" i="8"/>
  <c r="T38" i="8"/>
  <c r="Q127" i="8"/>
  <c r="Q101" i="8"/>
  <c r="Q13" i="8"/>
  <c r="Q89" i="8"/>
  <c r="Q150" i="8"/>
  <c r="Q11" i="8"/>
  <c r="Q156" i="8"/>
  <c r="Q73" i="8"/>
  <c r="Q174" i="8"/>
  <c r="T90" i="8"/>
  <c r="Q157" i="8"/>
  <c r="Q27" i="8"/>
  <c r="T66" i="8"/>
  <c r="T33" i="8"/>
  <c r="Q98" i="8"/>
  <c r="Q94" i="8"/>
  <c r="Q92" i="8"/>
  <c r="T132" i="8"/>
  <c r="Q31" i="8"/>
  <c r="Q52" i="8"/>
  <c r="Q69" i="8"/>
  <c r="Q134" i="8"/>
  <c r="Q14" i="8"/>
  <c r="Q32" i="8"/>
  <c r="Q81" i="8"/>
  <c r="Q119" i="8"/>
  <c r="Q78" i="8"/>
  <c r="Q53" i="8"/>
  <c r="Q25" i="8"/>
  <c r="Q178" i="8"/>
  <c r="Q95" i="8"/>
  <c r="Q23" i="8"/>
  <c r="Q45" i="8"/>
  <c r="Q131" i="8"/>
  <c r="Q96" i="8"/>
  <c r="T74" i="8"/>
  <c r="Q103" i="8"/>
  <c r="T144" i="8"/>
  <c r="Q125" i="8"/>
  <c r="Q76" i="8"/>
  <c r="Q166" i="8"/>
  <c r="Q17" i="8"/>
  <c r="Q130" i="8"/>
  <c r="Q162" i="8"/>
  <c r="Q29" i="8"/>
  <c r="T133" i="8"/>
  <c r="Q57" i="8"/>
  <c r="Q93" i="8"/>
  <c r="Q80" i="8"/>
  <c r="Q135" i="8"/>
  <c r="Q164" i="8"/>
  <c r="Q102" i="8"/>
  <c r="T58" i="8"/>
  <c r="Q97" i="8"/>
  <c r="Q59" i="8"/>
  <c r="Q124" i="8"/>
  <c r="Q126" i="8"/>
  <c r="Q143" i="8"/>
  <c r="Q36" i="8"/>
  <c r="Q138" i="8"/>
  <c r="Q175" i="8"/>
  <c r="T143" i="8"/>
  <c r="Q40" i="8"/>
  <c r="Q85" i="8"/>
  <c r="T36" i="8"/>
  <c r="Q28" i="8"/>
  <c r="Q111" i="8"/>
  <c r="Q107" i="8"/>
  <c r="Q64" i="8"/>
  <c r="Q140" i="8"/>
  <c r="T77" i="8"/>
  <c r="T55" i="8"/>
  <c r="N124" i="8"/>
  <c r="T119" i="8"/>
  <c r="Q176" i="8"/>
  <c r="Q121" i="8"/>
  <c r="Q83" i="8"/>
  <c r="Q43" i="8"/>
  <c r="Q109" i="8"/>
  <c r="Q100" i="8"/>
  <c r="Q70" i="8"/>
  <c r="Q122" i="8"/>
  <c r="Q79" i="8"/>
  <c r="T42" i="8"/>
  <c r="T78" i="8"/>
  <c r="Q153" i="8"/>
  <c r="Q129" i="8"/>
  <c r="Q116" i="8"/>
  <c r="Q120" i="8"/>
  <c r="Q142" i="8"/>
  <c r="Q168" i="8"/>
  <c r="Q18" i="8"/>
  <c r="Q88" i="8"/>
  <c r="Q172" i="8"/>
  <c r="T172" i="8"/>
  <c r="T4" i="8"/>
  <c r="Q4" i="8"/>
  <c r="T5" i="8"/>
  <c r="Q5" i="8"/>
  <c r="T9" i="8"/>
  <c r="Q9" i="8"/>
  <c r="T7" i="8"/>
  <c r="Q7" i="8"/>
  <c r="T6" i="8"/>
  <c r="Q6" i="8"/>
  <c r="T8" i="8"/>
  <c r="Q8" i="8"/>
  <c r="C10" i="8"/>
  <c r="T34" i="8"/>
  <c r="Q34" i="8"/>
  <c r="J25" i="12" l="1"/>
  <c r="N27" i="12"/>
  <c r="M28" i="12"/>
  <c r="N28" i="12" s="1"/>
  <c r="U90" i="8"/>
  <c r="V90" i="8" s="1"/>
  <c r="W90" i="8" s="1"/>
  <c r="U93" i="8"/>
  <c r="V93" i="8" s="1"/>
  <c r="W93" i="8" s="1"/>
  <c r="U99" i="8"/>
  <c r="V99" i="8" s="1"/>
  <c r="W99" i="8" s="1"/>
  <c r="U30" i="8"/>
  <c r="V30" i="8" s="1"/>
  <c r="W30" i="8" s="1"/>
  <c r="U28" i="8"/>
  <c r="V28" i="8" s="1"/>
  <c r="W28" i="8" s="1"/>
  <c r="U31" i="8"/>
  <c r="V31" i="8" s="1"/>
  <c r="W31" i="8" s="1"/>
  <c r="S154" i="8"/>
  <c r="U173" i="8"/>
  <c r="V173" i="8" s="1"/>
  <c r="W173" i="8" s="1"/>
  <c r="U156" i="8"/>
  <c r="V156" i="8" s="1"/>
  <c r="W156" i="8" s="1"/>
  <c r="S157" i="8"/>
  <c r="U10" i="8"/>
  <c r="V10" i="8" s="1"/>
  <c r="W10" i="8" s="1"/>
  <c r="U105" i="8"/>
  <c r="V105" i="8" s="1"/>
  <c r="W105" i="8" s="1"/>
  <c r="U157" i="8"/>
  <c r="V157" i="8" s="1"/>
  <c r="W157" i="8" s="1"/>
  <c r="U159" i="8"/>
  <c r="V159" i="8" s="1"/>
  <c r="W159" i="8" s="1"/>
  <c r="U165" i="8"/>
  <c r="V165" i="8" s="1"/>
  <c r="W165" i="8" s="1"/>
  <c r="S32" i="8"/>
  <c r="S125" i="8"/>
  <c r="U83" i="8"/>
  <c r="V83" i="8" s="1"/>
  <c r="W83" i="8" s="1"/>
  <c r="U174" i="8"/>
  <c r="V174" i="8" s="1"/>
  <c r="W174" i="8" s="1"/>
  <c r="U98" i="8"/>
  <c r="V98" i="8" s="1"/>
  <c r="W98" i="8" s="1"/>
  <c r="U56" i="8"/>
  <c r="V56" i="8" s="1"/>
  <c r="W56" i="8" s="1"/>
  <c r="S175" i="8"/>
  <c r="S98" i="8"/>
  <c r="S128" i="8"/>
  <c r="U114" i="8"/>
  <c r="V114" i="8" s="1"/>
  <c r="W114" i="8" s="1"/>
  <c r="U95" i="8"/>
  <c r="V95" i="8" s="1"/>
  <c r="W95" i="8" s="1"/>
  <c r="S102" i="8"/>
  <c r="U33" i="8"/>
  <c r="V33" i="8" s="1"/>
  <c r="W33" i="8" s="1"/>
  <c r="U107" i="8"/>
  <c r="V107" i="8" s="1"/>
  <c r="W107" i="8" s="1"/>
  <c r="U108" i="8"/>
  <c r="V108" i="8" s="1"/>
  <c r="W108" i="8" s="1"/>
  <c r="U155" i="8"/>
  <c r="V155" i="8" s="1"/>
  <c r="W155" i="8" s="1"/>
  <c r="S93" i="8"/>
  <c r="U51" i="8"/>
  <c r="V51" i="8" s="1"/>
  <c r="W51" i="8" s="1"/>
  <c r="U52" i="8"/>
  <c r="V52" i="8" s="1"/>
  <c r="W52" i="8" s="1"/>
  <c r="S88" i="8"/>
  <c r="U135" i="8"/>
  <c r="V135" i="8" s="1"/>
  <c r="W135" i="8" s="1"/>
  <c r="U126" i="8"/>
  <c r="V126" i="8" s="1"/>
  <c r="W126" i="8" s="1"/>
  <c r="S24" i="8"/>
  <c r="S29" i="8"/>
  <c r="U86" i="8"/>
  <c r="V86" i="8" s="1"/>
  <c r="W86" i="8" s="1"/>
  <c r="S162" i="8"/>
  <c r="U116" i="8"/>
  <c r="V116" i="8" s="1"/>
  <c r="W116" i="8" s="1"/>
  <c r="U35" i="8"/>
  <c r="V35" i="8" s="1"/>
  <c r="W35" i="8" s="1"/>
  <c r="U14" i="8"/>
  <c r="V14" i="8" s="1"/>
  <c r="W14" i="8" s="1"/>
  <c r="U47" i="8"/>
  <c r="V47" i="8" s="1"/>
  <c r="W47" i="8" s="1"/>
  <c r="U85" i="8"/>
  <c r="V85" i="8" s="1"/>
  <c r="W85" i="8" s="1"/>
  <c r="U88" i="8"/>
  <c r="V88" i="8" s="1"/>
  <c r="W88" i="8" s="1"/>
  <c r="U97" i="8"/>
  <c r="V97" i="8" s="1"/>
  <c r="W97" i="8" s="1"/>
  <c r="U24" i="8"/>
  <c r="V24" i="8" s="1"/>
  <c r="W24" i="8" s="1"/>
  <c r="U102" i="8"/>
  <c r="V102" i="8" s="1"/>
  <c r="W102" i="8" s="1"/>
  <c r="U103" i="8"/>
  <c r="V103" i="8" s="1"/>
  <c r="W103" i="8" s="1"/>
  <c r="U147" i="8"/>
  <c r="V147" i="8" s="1"/>
  <c r="W147" i="8" s="1"/>
  <c r="U148" i="8"/>
  <c r="V148" i="8" s="1"/>
  <c r="W148" i="8" s="1"/>
  <c r="U89" i="8"/>
  <c r="V89" i="8" s="1"/>
  <c r="W89" i="8" s="1"/>
  <c r="U36" i="8"/>
  <c r="V36" i="8" s="1"/>
  <c r="W36" i="8" s="1"/>
  <c r="U104" i="8"/>
  <c r="V104" i="8" s="1"/>
  <c r="W104" i="8" s="1"/>
  <c r="S70" i="8"/>
  <c r="S107" i="8"/>
  <c r="U12" i="8"/>
  <c r="V12" i="8" s="1"/>
  <c r="W12" i="8" s="1"/>
  <c r="U29" i="8"/>
  <c r="V29" i="8" s="1"/>
  <c r="W29" i="8" s="1"/>
  <c r="U133" i="8"/>
  <c r="V133" i="8" s="1"/>
  <c r="W133" i="8" s="1"/>
  <c r="S39" i="8"/>
  <c r="S25" i="8"/>
  <c r="U77" i="8"/>
  <c r="V77" i="8" s="1"/>
  <c r="W77" i="8" s="1"/>
  <c r="U163" i="8"/>
  <c r="V163" i="8" s="1"/>
  <c r="W163" i="8" s="1"/>
  <c r="U150" i="8"/>
  <c r="V150" i="8" s="1"/>
  <c r="W150" i="8" s="1"/>
  <c r="U54" i="8"/>
  <c r="V54" i="8" s="1"/>
  <c r="W54" i="8" s="1"/>
  <c r="U128" i="8"/>
  <c r="V128" i="8" s="1"/>
  <c r="W128" i="8" s="1"/>
  <c r="S18" i="8"/>
  <c r="S92" i="8"/>
  <c r="U145" i="8"/>
  <c r="V145" i="8" s="1"/>
  <c r="W145" i="8" s="1"/>
  <c r="U73" i="8"/>
  <c r="V73" i="8" s="1"/>
  <c r="W73" i="8" s="1"/>
  <c r="S46" i="8"/>
  <c r="U39" i="8"/>
  <c r="V39" i="8" s="1"/>
  <c r="W39" i="8" s="1"/>
  <c r="S151" i="8"/>
  <c r="S118" i="8"/>
  <c r="S165" i="8"/>
  <c r="U112" i="8"/>
  <c r="V112" i="8" s="1"/>
  <c r="W112" i="8" s="1"/>
  <c r="U57" i="8"/>
  <c r="V57" i="8" s="1"/>
  <c r="W57" i="8" s="1"/>
  <c r="S171" i="8"/>
  <c r="S103" i="8"/>
  <c r="S54" i="8"/>
  <c r="U61" i="8"/>
  <c r="V61" i="8" s="1"/>
  <c r="W61" i="8" s="1"/>
  <c r="U177" i="8"/>
  <c r="V177" i="8" s="1"/>
  <c r="W177" i="8" s="1"/>
  <c r="S74" i="8"/>
  <c r="S66" i="8"/>
  <c r="S83" i="8"/>
  <c r="S132" i="8"/>
  <c r="U117" i="8"/>
  <c r="V117" i="8" s="1"/>
  <c r="W117" i="8" s="1"/>
  <c r="S131" i="8"/>
  <c r="S117" i="8"/>
  <c r="S87" i="8"/>
  <c r="U101" i="8"/>
  <c r="V101" i="8" s="1"/>
  <c r="W101" i="8" s="1"/>
  <c r="U82" i="8"/>
  <c r="V82" i="8" s="1"/>
  <c r="W82" i="8" s="1"/>
  <c r="U60" i="8"/>
  <c r="V60" i="8" s="1"/>
  <c r="W60" i="8" s="1"/>
  <c r="S100" i="8"/>
  <c r="S126" i="8"/>
  <c r="S77" i="8"/>
  <c r="S133" i="8"/>
  <c r="U123" i="8"/>
  <c r="V123" i="8" s="1"/>
  <c r="W123" i="8" s="1"/>
  <c r="S124" i="8"/>
  <c r="U72" i="8"/>
  <c r="V72" i="8" s="1"/>
  <c r="W72" i="8" s="1"/>
  <c r="U64" i="8"/>
  <c r="V64" i="8" s="1"/>
  <c r="W64" i="8" s="1"/>
  <c r="U53" i="8"/>
  <c r="V53" i="8" s="1"/>
  <c r="W53" i="8" s="1"/>
  <c r="S43" i="8"/>
  <c r="U125" i="8"/>
  <c r="V125" i="8" s="1"/>
  <c r="W125" i="8" s="1"/>
  <c r="U151" i="8"/>
  <c r="V151" i="8" s="1"/>
  <c r="W151" i="8" s="1"/>
  <c r="S112" i="8"/>
  <c r="S97" i="8"/>
  <c r="U71" i="8"/>
  <c r="V71" i="8" s="1"/>
  <c r="W71" i="8" s="1"/>
  <c r="U138" i="8"/>
  <c r="V138" i="8" s="1"/>
  <c r="W138" i="8" s="1"/>
  <c r="S159" i="8"/>
  <c r="S174" i="8"/>
  <c r="S99" i="8"/>
  <c r="S33" i="8"/>
  <c r="U87" i="8"/>
  <c r="V87" i="8" s="1"/>
  <c r="W87" i="8" s="1"/>
  <c r="U146" i="8"/>
  <c r="V146" i="8" s="1"/>
  <c r="W146" i="8" s="1"/>
  <c r="U132" i="8"/>
  <c r="V132" i="8" s="1"/>
  <c r="W132" i="8" s="1"/>
  <c r="S166" i="8"/>
  <c r="U178" i="8"/>
  <c r="V178" i="8" s="1"/>
  <c r="W178" i="8" s="1"/>
  <c r="S14" i="8"/>
  <c r="S146" i="8"/>
  <c r="U79" i="8"/>
  <c r="V79" i="8" s="1"/>
  <c r="W79" i="8" s="1"/>
  <c r="S45" i="8"/>
  <c r="S65" i="8"/>
  <c r="U46" i="8"/>
  <c r="V46" i="8" s="1"/>
  <c r="W46" i="8" s="1"/>
  <c r="U80" i="8"/>
  <c r="V80" i="8" s="1"/>
  <c r="W80" i="8" s="1"/>
  <c r="U118" i="8"/>
  <c r="V118" i="8" s="1"/>
  <c r="W118" i="8" s="1"/>
  <c r="S113" i="8"/>
  <c r="U121" i="8"/>
  <c r="V121" i="8" s="1"/>
  <c r="W121" i="8" s="1"/>
  <c r="S122" i="8"/>
  <c r="S73" i="8"/>
  <c r="S55" i="8"/>
  <c r="U160" i="8"/>
  <c r="V160" i="8" s="1"/>
  <c r="W160" i="8" s="1"/>
  <c r="S108" i="8"/>
  <c r="S149" i="8"/>
  <c r="S176" i="8"/>
  <c r="S148" i="8"/>
  <c r="S164" i="8"/>
  <c r="S158" i="8"/>
  <c r="S84" i="8"/>
  <c r="S26" i="8"/>
  <c r="S42" i="8"/>
  <c r="S23" i="8"/>
  <c r="U94" i="8"/>
  <c r="V94" i="8" s="1"/>
  <c r="W94" i="8" s="1"/>
  <c r="U131" i="8"/>
  <c r="V131" i="8" s="1"/>
  <c r="W131" i="8" s="1"/>
  <c r="S89" i="8"/>
  <c r="S141" i="8"/>
  <c r="S167" i="8"/>
  <c r="U168" i="8"/>
  <c r="V168" i="8" s="1"/>
  <c r="W168" i="8" s="1"/>
  <c r="S41" i="8"/>
  <c r="S35" i="8"/>
  <c r="S80" i="8"/>
  <c r="U50" i="8"/>
  <c r="V50" i="8" s="1"/>
  <c r="W50" i="8" s="1"/>
  <c r="U21" i="8"/>
  <c r="V21" i="8" s="1"/>
  <c r="W21" i="8" s="1"/>
  <c r="S116" i="8"/>
  <c r="S78" i="8"/>
  <c r="S140" i="8"/>
  <c r="S101" i="8"/>
  <c r="S105" i="8"/>
  <c r="S169" i="8"/>
  <c r="U27" i="8"/>
  <c r="V27" i="8" s="1"/>
  <c r="W27" i="8" s="1"/>
  <c r="U22" i="8"/>
  <c r="V22" i="8" s="1"/>
  <c r="W22" i="8" s="1"/>
  <c r="S173" i="8"/>
  <c r="S22" i="8"/>
  <c r="S86" i="8"/>
  <c r="U154" i="8"/>
  <c r="V154" i="8" s="1"/>
  <c r="W154" i="8" s="1"/>
  <c r="U59" i="8"/>
  <c r="V59" i="8" s="1"/>
  <c r="W59" i="8" s="1"/>
  <c r="S111" i="8"/>
  <c r="S52" i="8"/>
  <c r="S91" i="8"/>
  <c r="U65" i="8"/>
  <c r="V65" i="8" s="1"/>
  <c r="W65" i="8" s="1"/>
  <c r="U158" i="8"/>
  <c r="V158" i="8" s="1"/>
  <c r="W158" i="8" s="1"/>
  <c r="S160" i="8"/>
  <c r="U62" i="8"/>
  <c r="V62" i="8" s="1"/>
  <c r="W62" i="8" s="1"/>
  <c r="U130" i="8"/>
  <c r="V130" i="8" s="1"/>
  <c r="W130" i="8" s="1"/>
  <c r="U162" i="8"/>
  <c r="V162" i="8" s="1"/>
  <c r="W162" i="8" s="1"/>
  <c r="S19" i="8"/>
  <c r="S81" i="8"/>
  <c r="U113" i="8"/>
  <c r="V113" i="8" s="1"/>
  <c r="W113" i="8" s="1"/>
  <c r="U78" i="8"/>
  <c r="V78" i="8" s="1"/>
  <c r="W78" i="8" s="1"/>
  <c r="S139" i="8"/>
  <c r="U49" i="8"/>
  <c r="V49" i="8" s="1"/>
  <c r="W49" i="8" s="1"/>
  <c r="U26" i="8"/>
  <c r="V26" i="8" s="1"/>
  <c r="W26" i="8" s="1"/>
  <c r="U45" i="8"/>
  <c r="V45" i="8" s="1"/>
  <c r="W45" i="8" s="1"/>
  <c r="U23" i="8"/>
  <c r="V23" i="8" s="1"/>
  <c r="W23" i="8" s="1"/>
  <c r="S10" i="8"/>
  <c r="S145" i="8"/>
  <c r="U70" i="8"/>
  <c r="V70" i="8" s="1"/>
  <c r="W70" i="8" s="1"/>
  <c r="U69" i="8"/>
  <c r="V69" i="8" s="1"/>
  <c r="W69" i="8" s="1"/>
  <c r="U119" i="8"/>
  <c r="V119" i="8" s="1"/>
  <c r="W119" i="8" s="1"/>
  <c r="S152" i="8"/>
  <c r="U43" i="8"/>
  <c r="V43" i="8" s="1"/>
  <c r="W43" i="8" s="1"/>
  <c r="U19" i="8"/>
  <c r="V19" i="8" s="1"/>
  <c r="W19" i="8" s="1"/>
  <c r="S75" i="8"/>
  <c r="U144" i="8"/>
  <c r="V144" i="8" s="1"/>
  <c r="W144" i="8" s="1"/>
  <c r="U48" i="8"/>
  <c r="V48" i="8" s="1"/>
  <c r="W48" i="8" s="1"/>
  <c r="U84" i="8"/>
  <c r="V84" i="8" s="1"/>
  <c r="W84" i="8" s="1"/>
  <c r="S28" i="8"/>
  <c r="U164" i="8"/>
  <c r="V164" i="8" s="1"/>
  <c r="W164" i="8" s="1"/>
  <c r="S163" i="8"/>
  <c r="S85" i="8"/>
  <c r="S142" i="8"/>
  <c r="S119" i="8"/>
  <c r="U32" i="8"/>
  <c r="V32" i="8" s="1"/>
  <c r="W32" i="8" s="1"/>
  <c r="S106" i="8"/>
  <c r="U140" i="8"/>
  <c r="V140" i="8" s="1"/>
  <c r="W140" i="8" s="1"/>
  <c r="U42" i="8"/>
  <c r="V42" i="8" s="1"/>
  <c r="W42" i="8" s="1"/>
  <c r="U111" i="8"/>
  <c r="V111" i="8" s="1"/>
  <c r="W111" i="8" s="1"/>
  <c r="U41" i="8"/>
  <c r="V41" i="8" s="1"/>
  <c r="W41" i="8" s="1"/>
  <c r="S15" i="8"/>
  <c r="S16" i="8"/>
  <c r="S134" i="8"/>
  <c r="S90" i="8"/>
  <c r="S64" i="8"/>
  <c r="S56" i="8"/>
  <c r="U74" i="8"/>
  <c r="V74" i="8" s="1"/>
  <c r="W74" i="8" s="1"/>
  <c r="S115" i="8"/>
  <c r="U55" i="8"/>
  <c r="V55" i="8" s="1"/>
  <c r="W55" i="8" s="1"/>
  <c r="S51" i="8"/>
  <c r="S61" i="8"/>
  <c r="S71" i="8"/>
  <c r="S12" i="8"/>
  <c r="S79" i="8"/>
  <c r="U110" i="8"/>
  <c r="V110" i="8" s="1"/>
  <c r="W110" i="8" s="1"/>
  <c r="S82" i="8"/>
  <c r="U124" i="8"/>
  <c r="V124" i="8" s="1"/>
  <c r="W124" i="8" s="1"/>
  <c r="S59" i="8"/>
  <c r="U153" i="8"/>
  <c r="V153" i="8" s="1"/>
  <c r="W153" i="8" s="1"/>
  <c r="S143" i="8"/>
  <c r="S130" i="8"/>
  <c r="U109" i="8"/>
  <c r="V109" i="8" s="1"/>
  <c r="W109" i="8" s="1"/>
  <c r="S123" i="8"/>
  <c r="U171" i="8"/>
  <c r="V171" i="8" s="1"/>
  <c r="W171" i="8" s="1"/>
  <c r="U17" i="8"/>
  <c r="V17" i="8" s="1"/>
  <c r="W17" i="8" s="1"/>
  <c r="U63" i="8"/>
  <c r="V63" i="8" s="1"/>
  <c r="W63" i="8" s="1"/>
  <c r="U100" i="8"/>
  <c r="V100" i="8" s="1"/>
  <c r="W100" i="8" s="1"/>
  <c r="U38" i="8"/>
  <c r="V38" i="8" s="1"/>
  <c r="W38" i="8" s="1"/>
  <c r="U134" i="8"/>
  <c r="V134" i="8" s="1"/>
  <c r="W134" i="8" s="1"/>
  <c r="U68" i="8"/>
  <c r="V68" i="8" s="1"/>
  <c r="W68" i="8" s="1"/>
  <c r="S69" i="8"/>
  <c r="U136" i="8"/>
  <c r="V136" i="8" s="1"/>
  <c r="W136" i="8" s="1"/>
  <c r="U166" i="8"/>
  <c r="V166" i="8" s="1"/>
  <c r="W166" i="8" s="1"/>
  <c r="S121" i="8"/>
  <c r="U106" i="8"/>
  <c r="V106" i="8" s="1"/>
  <c r="W106" i="8" s="1"/>
  <c r="S153" i="8"/>
  <c r="U67" i="8"/>
  <c r="V67" i="8" s="1"/>
  <c r="W67" i="8" s="1"/>
  <c r="U15" i="8"/>
  <c r="V15" i="8" s="1"/>
  <c r="W15" i="8" s="1"/>
  <c r="S155" i="8"/>
  <c r="S38" i="8"/>
  <c r="S68" i="8"/>
  <c r="S36" i="8"/>
  <c r="U161" i="8"/>
  <c r="V161" i="8" s="1"/>
  <c r="W161" i="8" s="1"/>
  <c r="S49" i="8"/>
  <c r="U18" i="8"/>
  <c r="V18" i="8" s="1"/>
  <c r="W18" i="8" s="1"/>
  <c r="U75" i="8"/>
  <c r="V75" i="8" s="1"/>
  <c r="W75" i="8" s="1"/>
  <c r="U143" i="8"/>
  <c r="V143" i="8" s="1"/>
  <c r="W143" i="8" s="1"/>
  <c r="S50" i="8"/>
  <c r="S138" i="8"/>
  <c r="S136" i="8"/>
  <c r="S156" i="8"/>
  <c r="S57" i="8"/>
  <c r="U127" i="8"/>
  <c r="V127" i="8" s="1"/>
  <c r="W127" i="8" s="1"/>
  <c r="U58" i="8"/>
  <c r="V58" i="8" s="1"/>
  <c r="W58" i="8" s="1"/>
  <c r="U20" i="8"/>
  <c r="V20" i="8" s="1"/>
  <c r="W20" i="8" s="1"/>
  <c r="U122" i="8"/>
  <c r="V122" i="8" s="1"/>
  <c r="W122" i="8" s="1"/>
  <c r="S137" i="8"/>
  <c r="S44" i="8"/>
  <c r="U11" i="8"/>
  <c r="V11" i="8" s="1"/>
  <c r="W11" i="8" s="1"/>
  <c r="U141" i="8"/>
  <c r="V141" i="8" s="1"/>
  <c r="W141" i="8" s="1"/>
  <c r="S20" i="8"/>
  <c r="U152" i="8"/>
  <c r="V152" i="8" s="1"/>
  <c r="W152" i="8" s="1"/>
  <c r="U149" i="8"/>
  <c r="V149" i="8" s="1"/>
  <c r="W149" i="8" s="1"/>
  <c r="U16" i="8"/>
  <c r="V16" i="8" s="1"/>
  <c r="W16" i="8" s="1"/>
  <c r="S63" i="8"/>
  <c r="S168" i="8"/>
  <c r="S135" i="8"/>
  <c r="U91" i="8"/>
  <c r="V91" i="8" s="1"/>
  <c r="W91" i="8" s="1"/>
  <c r="U139" i="8"/>
  <c r="V139" i="8" s="1"/>
  <c r="W139" i="8" s="1"/>
  <c r="S170" i="8"/>
  <c r="U81" i="8"/>
  <c r="V81" i="8" s="1"/>
  <c r="W81" i="8" s="1"/>
  <c r="S21" i="8"/>
  <c r="S95" i="8"/>
  <c r="U76" i="8"/>
  <c r="V76" i="8" s="1"/>
  <c r="W76" i="8" s="1"/>
  <c r="U115" i="8"/>
  <c r="V115" i="8" s="1"/>
  <c r="W115" i="8" s="1"/>
  <c r="S109" i="8"/>
  <c r="S31" i="8"/>
  <c r="S72" i="8"/>
  <c r="S27" i="8"/>
  <c r="S110" i="8"/>
  <c r="S53" i="8"/>
  <c r="S11" i="8"/>
  <c r="S178" i="8"/>
  <c r="S40" i="8"/>
  <c r="S17" i="8"/>
  <c r="S37" i="8"/>
  <c r="U13" i="8"/>
  <c r="V13" i="8" s="1"/>
  <c r="W13" i="8" s="1"/>
  <c r="U169" i="8"/>
  <c r="V169" i="8" s="1"/>
  <c r="W169" i="8" s="1"/>
  <c r="S58" i="8"/>
  <c r="U92" i="8"/>
  <c r="V92" i="8" s="1"/>
  <c r="W92" i="8" s="1"/>
  <c r="S129" i="8"/>
  <c r="U40" i="8"/>
  <c r="V40" i="8" s="1"/>
  <c r="W40" i="8" s="1"/>
  <c r="U176" i="8"/>
  <c r="V176" i="8" s="1"/>
  <c r="W176" i="8" s="1"/>
  <c r="S104" i="8"/>
  <c r="U142" i="8"/>
  <c r="V142" i="8" s="1"/>
  <c r="W142" i="8" s="1"/>
  <c r="S147" i="8"/>
  <c r="U25" i="8"/>
  <c r="V25" i="8" s="1"/>
  <c r="W25" i="8" s="1"/>
  <c r="U96" i="8"/>
  <c r="V96" i="8" s="1"/>
  <c r="W96" i="8" s="1"/>
  <c r="S120" i="8"/>
  <c r="U37" i="8"/>
  <c r="V37" i="8" s="1"/>
  <c r="W37" i="8" s="1"/>
  <c r="S48" i="8"/>
  <c r="S127" i="8"/>
  <c r="U66" i="8"/>
  <c r="V66" i="8" s="1"/>
  <c r="W66" i="8" s="1"/>
  <c r="U137" i="8"/>
  <c r="V137" i="8" s="1"/>
  <c r="W137" i="8" s="1"/>
  <c r="U44" i="8"/>
  <c r="V44" i="8" s="1"/>
  <c r="W44" i="8" s="1"/>
  <c r="S144" i="8"/>
  <c r="S94" i="8"/>
  <c r="S96" i="8"/>
  <c r="S177" i="8"/>
  <c r="U129" i="8"/>
  <c r="V129" i="8" s="1"/>
  <c r="W129" i="8" s="1"/>
  <c r="S47" i="8"/>
  <c r="S60" i="8"/>
  <c r="S67" i="8"/>
  <c r="S30" i="8"/>
  <c r="S13" i="8"/>
  <c r="U170" i="8"/>
  <c r="V170" i="8" s="1"/>
  <c r="W170" i="8" s="1"/>
  <c r="S62" i="8"/>
  <c r="S76" i="8"/>
  <c r="S114" i="8"/>
  <c r="S161" i="8"/>
  <c r="U175" i="8"/>
  <c r="V175" i="8" s="1"/>
  <c r="W175" i="8" s="1"/>
  <c r="S150" i="8"/>
  <c r="U167" i="8"/>
  <c r="V167" i="8" s="1"/>
  <c r="W167" i="8" s="1"/>
  <c r="U120" i="8"/>
  <c r="V120" i="8" s="1"/>
  <c r="W120" i="8" s="1"/>
  <c r="U172" i="8"/>
  <c r="V172" i="8" s="1"/>
  <c r="W172" i="8" s="1"/>
  <c r="S172" i="8"/>
  <c r="S4" i="8"/>
  <c r="S5" i="8"/>
  <c r="S6" i="8"/>
  <c r="S34" i="8"/>
  <c r="S7" i="8"/>
  <c r="S8" i="8"/>
  <c r="S9" i="8"/>
  <c r="U8" i="8"/>
  <c r="V8" i="8" s="1"/>
  <c r="W8" i="8" s="1"/>
  <c r="U7" i="8"/>
  <c r="V7" i="8" s="1"/>
  <c r="W7" i="8" s="1"/>
  <c r="U5" i="8"/>
  <c r="V5" i="8" s="1"/>
  <c r="W5" i="8" s="1"/>
  <c r="U4" i="8"/>
  <c r="V4" i="8" s="1"/>
  <c r="W4" i="8" s="1"/>
  <c r="U9" i="8"/>
  <c r="V9" i="8" s="1"/>
  <c r="W9" i="8" s="1"/>
  <c r="U6" i="8"/>
  <c r="V6" i="8" s="1"/>
  <c r="W6" i="8" s="1"/>
  <c r="U34" i="8"/>
  <c r="V34" i="8" s="1"/>
  <c r="W34" i="8" s="1"/>
  <c r="C1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</author>
  </authors>
  <commentList>
    <comment ref="N3" authorId="0" shapeId="0" xr:uid="{573F2144-02A4-4232-BAAC-1C86E7B622DB}">
      <text>
        <r>
          <rPr>
            <b/>
            <sz val="9"/>
            <color indexed="81"/>
            <rFont val="Tahoma"/>
            <family val="2"/>
          </rPr>
          <t>Felipe:</t>
        </r>
        <r>
          <rPr>
            <sz val="9"/>
            <color indexed="81"/>
            <rFont val="Tahoma"/>
            <family val="2"/>
          </rPr>
          <t xml:space="preserve">
n must be same or larger than this</t>
        </r>
      </text>
    </comment>
    <comment ref="U3" authorId="0" shapeId="0" xr:uid="{1683CC14-F324-4141-96E3-E744098078E1}">
      <text>
        <r>
          <rPr>
            <b/>
            <sz val="9"/>
            <color indexed="81"/>
            <rFont val="Tahoma"/>
            <family val="2"/>
          </rPr>
          <t>Felipe:</t>
        </r>
        <r>
          <rPr>
            <sz val="9"/>
            <color indexed="81"/>
            <rFont val="Tahoma"/>
            <family val="2"/>
          </rPr>
          <t xml:space="preserve">
Alternate formula: 2*Iout_avg/(n*Il_pk)</t>
        </r>
      </text>
    </comment>
  </commentList>
</comments>
</file>

<file path=xl/sharedStrings.xml><?xml version="1.0" encoding="utf-8"?>
<sst xmlns="http://schemas.openxmlformats.org/spreadsheetml/2006/main" count="107" uniqueCount="92">
  <si>
    <t>n (L)</t>
  </si>
  <si>
    <t>n (V)</t>
  </si>
  <si>
    <t>n (avg)</t>
  </si>
  <si>
    <t>V</t>
  </si>
  <si>
    <t>1/n (L)</t>
  </si>
  <si>
    <t>1/n (V)</t>
  </si>
  <si>
    <t>1/n (avg)</t>
  </si>
  <si>
    <t>D</t>
  </si>
  <si>
    <t>rpot</t>
  </si>
  <si>
    <t>vout</t>
  </si>
  <si>
    <t>ID</t>
  </si>
  <si>
    <t>Il_pk [A]</t>
  </si>
  <si>
    <t>Iin_avg [A]</t>
  </si>
  <si>
    <t>fs [Hz]</t>
  </si>
  <si>
    <t>Lp(max) [H]</t>
  </si>
  <si>
    <t>eff</t>
  </si>
  <si>
    <t>Iout_avg [A]</t>
  </si>
  <si>
    <t>Iin_rms [A]</t>
  </si>
  <si>
    <t>D'</t>
  </si>
  <si>
    <t>Iout_rms [A]</t>
  </si>
  <si>
    <t>Dmax</t>
  </si>
  <si>
    <t>Cout [F]</t>
  </si>
  <si>
    <t>Ls [H]</t>
  </si>
  <si>
    <t>Lp [H]</t>
  </si>
  <si>
    <t>Coupled inductor - measurements</t>
  </si>
  <si>
    <t>Pout tgt [W]</t>
  </si>
  <si>
    <t>Pout [W]</t>
  </si>
  <si>
    <t>Vin [V]</t>
  </si>
  <si>
    <t>Vout [V]</t>
  </si>
  <si>
    <r>
      <t>Rout [</t>
    </r>
    <r>
      <rPr>
        <b/>
        <sz val="11"/>
        <color theme="1"/>
        <rFont val="Calibri"/>
        <family val="2"/>
      </rPr>
      <t>Ω]</t>
    </r>
  </si>
  <si>
    <t>Pin [W]</t>
  </si>
  <si>
    <t>Design parameters</t>
  </si>
  <si>
    <t>Vin*D/(Vout*(1-D))</t>
  </si>
  <si>
    <t>El_pk
[J]</t>
  </si>
  <si>
    <t>Tch
[s]</t>
  </si>
  <si>
    <r>
      <rPr>
        <b/>
        <sz val="11"/>
        <color theme="1"/>
        <rFont val="Calibri"/>
        <family val="2"/>
      </rPr>
      <t>Δ</t>
    </r>
    <r>
      <rPr>
        <b/>
        <sz val="11"/>
        <color theme="1"/>
        <rFont val="Calibri"/>
        <family val="2"/>
        <scheme val="minor"/>
      </rPr>
      <t>vout
[V]</t>
    </r>
  </si>
  <si>
    <t>Rup</t>
  </si>
  <si>
    <t>Vmax</t>
  </si>
  <si>
    <t>Vmin</t>
  </si>
  <si>
    <t>Vref</t>
  </si>
  <si>
    <t>Rd_vmin</t>
  </si>
  <si>
    <t>Rd_vmax</t>
  </si>
  <si>
    <t>kΩ</t>
  </si>
  <si>
    <t>rpres</t>
  </si>
  <si>
    <t>rdres</t>
  </si>
  <si>
    <t>Diff</t>
  </si>
  <si>
    <t>Rd_s</t>
  </si>
  <si>
    <t>Rd_par</t>
  </si>
  <si>
    <t>cs [Ω]</t>
  </si>
  <si>
    <t>Jack's method</t>
  </si>
  <si>
    <t>https://www.youtube.com/watch?v=2doS4y9KsIM</t>
  </si>
  <si>
    <t>Scale</t>
  </si>
  <si>
    <t>Compensation</t>
  </si>
  <si>
    <t>Plant</t>
  </si>
  <si>
    <t>DYI bode100</t>
  </si>
  <si>
    <t>https://www.youtube.com/watch?v=sqE7_HFV6FA</t>
  </si>
  <si>
    <t>vout=Idiv*(Rdivh+Rdivl)</t>
  </si>
  <si>
    <t>Idiv=Vref/Rdivl</t>
  </si>
  <si>
    <t>vout=(Vref/Rdivl)*(Rdivh+Rdivl)</t>
  </si>
  <si>
    <t>vout*Rdivl=Vref*Rdivh+Vref*Rdivl</t>
  </si>
  <si>
    <t>vout*Rdivl-Vref*Rdivl=Vref*Rdivh</t>
  </si>
  <si>
    <t>(vout-Vref)*Rdivl=Vref*Rdivh</t>
  </si>
  <si>
    <t>Rdivl=Vref*Rdivh/(vout-Vref)</t>
  </si>
  <si>
    <t>#1</t>
  </si>
  <si>
    <t>#2</t>
  </si>
  <si>
    <t>#3</t>
  </si>
  <si>
    <t>Vo [V]</t>
  </si>
  <si>
    <t>Po [W]</t>
  </si>
  <si>
    <t>Iout [A]</t>
  </si>
  <si>
    <r>
      <t>Rl [</t>
    </r>
    <r>
      <rPr>
        <sz val="11"/>
        <color theme="1"/>
        <rFont val="Calibri"/>
        <family val="2"/>
      </rPr>
      <t>Ω]</t>
    </r>
  </si>
  <si>
    <t>Co [F]</t>
  </si>
  <si>
    <t>ESR [Ω]</t>
  </si>
  <si>
    <t>Fp [Hz]</t>
  </si>
  <si>
    <t>Fz [Hz]</t>
  </si>
  <si>
    <t>G (-]</t>
  </si>
  <si>
    <t>G [dB]</t>
  </si>
  <si>
    <t>Ru [Ω]</t>
  </si>
  <si>
    <t>Rd [Ω]</t>
  </si>
  <si>
    <t>Ra [Ω]</t>
  </si>
  <si>
    <t>Crol [F]</t>
  </si>
  <si>
    <t>Cint [F]</t>
  </si>
  <si>
    <t>Rint [Ω]</t>
  </si>
  <si>
    <t>Fc [Hz]</t>
  </si>
  <si>
    <t>G [-]</t>
  </si>
  <si>
    <t>F [Hz]</t>
  </si>
  <si>
    <t>100Vx70W</t>
  </si>
  <si>
    <t>500Vx5W</t>
  </si>
  <si>
    <t>100Vx5W</t>
  </si>
  <si>
    <t>500Vx70W</t>
  </si>
  <si>
    <t>Comp #1</t>
  </si>
  <si>
    <t>Conp #2</t>
  </si>
  <si>
    <t>Comp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</si>
</sst>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70" formatCode="0.0E+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0" borderId="3" xfId="0" applyNumberFormat="1" applyBorder="1" applyAlignment="1">
      <alignment horizontal="right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right"/>
    </xf>
    <xf numFmtId="2" fontId="0" fillId="0" borderId="6" xfId="0" applyNumberFormat="1" applyBorder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1" fontId="0" fillId="0" borderId="0" xfId="0" applyNumberFormat="1"/>
    <xf numFmtId="11" fontId="0" fillId="0" borderId="2" xfId="0" applyNumberFormat="1" applyBorder="1" applyAlignment="1">
      <alignment horizontal="center"/>
    </xf>
    <xf numFmtId="11" fontId="0" fillId="0" borderId="4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/>
    </xf>
    <xf numFmtId="1" fontId="0" fillId="2" borderId="0" xfId="0" applyNumberFormat="1" applyFill="1" applyAlignment="1">
      <alignment horizontal="center"/>
    </xf>
    <xf numFmtId="2" fontId="1" fillId="0" borderId="0" xfId="0" applyNumberFormat="1" applyFont="1" applyAlignment="1">
      <alignment horizontal="center" vertical="top" wrapText="1"/>
    </xf>
    <xf numFmtId="165" fontId="1" fillId="0" borderId="0" xfId="0" applyNumberFormat="1" applyFont="1" applyAlignment="1">
      <alignment horizontal="center" vertical="top" wrapText="1"/>
    </xf>
    <xf numFmtId="2" fontId="0" fillId="0" borderId="0" xfId="0" applyNumberFormat="1" applyAlignment="1">
      <alignment horizontal="center" vertical="top"/>
    </xf>
    <xf numFmtId="11" fontId="1" fillId="0" borderId="0" xfId="0" applyNumberFormat="1" applyFont="1" applyAlignment="1">
      <alignment horizontal="center" vertical="top" wrapText="1"/>
    </xf>
    <xf numFmtId="2" fontId="0" fillId="0" borderId="0" xfId="0" applyNumberFormat="1"/>
    <xf numFmtId="2" fontId="0" fillId="3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0" borderId="0" xfId="0" applyNumberFormat="1"/>
    <xf numFmtId="0" fontId="1" fillId="0" borderId="0" xfId="0" applyFont="1"/>
    <xf numFmtId="1" fontId="1" fillId="0" borderId="0" xfId="0" applyNumberFormat="1" applyFont="1" applyAlignment="1">
      <alignment horizontal="center" vertical="top" wrapText="1"/>
    </xf>
    <xf numFmtId="2" fontId="1" fillId="0" borderId="7" xfId="0" applyNumberFormat="1" applyFont="1" applyBorder="1" applyAlignment="1">
      <alignment horizontal="center" vertical="top" wrapText="1"/>
    </xf>
    <xf numFmtId="2" fontId="1" fillId="0" borderId="8" xfId="0" applyNumberFormat="1" applyFont="1" applyBorder="1" applyAlignment="1">
      <alignment horizontal="center" vertical="top" wrapText="1"/>
    </xf>
    <xf numFmtId="164" fontId="0" fillId="0" borderId="0" xfId="0" applyNumberFormat="1" applyAlignment="1">
      <alignment horizontal="center"/>
    </xf>
    <xf numFmtId="1" fontId="0" fillId="0" borderId="0" xfId="0" applyNumberForma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70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Pout x Vout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Operating_characteristics!$I$4:$I$300</c:f>
              <c:numCache>
                <c:formatCode>0</c:formatCode>
                <c:ptCount val="29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170</c:v>
                </c:pt>
                <c:pt idx="7">
                  <c:v>170</c:v>
                </c:pt>
                <c:pt idx="8">
                  <c:v>170</c:v>
                </c:pt>
                <c:pt idx="9">
                  <c:v>170</c:v>
                </c:pt>
                <c:pt idx="10">
                  <c:v>170</c:v>
                </c:pt>
                <c:pt idx="11">
                  <c:v>170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400</c:v>
                </c:pt>
                <c:pt idx="19">
                  <c:v>400</c:v>
                </c:pt>
                <c:pt idx="20">
                  <c:v>400</c:v>
                </c:pt>
                <c:pt idx="21">
                  <c:v>400</c:v>
                </c:pt>
                <c:pt idx="22">
                  <c:v>400</c:v>
                </c:pt>
                <c:pt idx="23">
                  <c:v>400</c:v>
                </c:pt>
                <c:pt idx="24">
                  <c:v>550</c:v>
                </c:pt>
                <c:pt idx="25">
                  <c:v>550</c:v>
                </c:pt>
                <c:pt idx="26">
                  <c:v>550</c:v>
                </c:pt>
                <c:pt idx="27">
                  <c:v>550</c:v>
                </c:pt>
                <c:pt idx="28">
                  <c:v>550</c:v>
                </c:pt>
                <c:pt idx="29">
                  <c:v>550</c:v>
                </c:pt>
                <c:pt idx="30">
                  <c:v>100</c:v>
                </c:pt>
                <c:pt idx="31">
                  <c:v>170</c:v>
                </c:pt>
                <c:pt idx="32">
                  <c:v>250</c:v>
                </c:pt>
                <c:pt idx="33">
                  <c:v>400</c:v>
                </c:pt>
                <c:pt idx="34">
                  <c:v>550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170</c:v>
                </c:pt>
                <c:pt idx="43">
                  <c:v>170</c:v>
                </c:pt>
                <c:pt idx="44">
                  <c:v>170</c:v>
                </c:pt>
                <c:pt idx="45">
                  <c:v>170</c:v>
                </c:pt>
                <c:pt idx="46">
                  <c:v>170</c:v>
                </c:pt>
                <c:pt idx="47">
                  <c:v>170</c:v>
                </c:pt>
                <c:pt idx="48">
                  <c:v>170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400</c:v>
                </c:pt>
                <c:pt idx="57">
                  <c:v>400</c:v>
                </c:pt>
                <c:pt idx="58">
                  <c:v>400</c:v>
                </c:pt>
                <c:pt idx="59">
                  <c:v>400</c:v>
                </c:pt>
                <c:pt idx="60">
                  <c:v>400</c:v>
                </c:pt>
                <c:pt idx="61">
                  <c:v>400</c:v>
                </c:pt>
                <c:pt idx="62">
                  <c:v>400</c:v>
                </c:pt>
                <c:pt idx="63">
                  <c:v>550</c:v>
                </c:pt>
                <c:pt idx="64">
                  <c:v>550</c:v>
                </c:pt>
                <c:pt idx="65">
                  <c:v>550</c:v>
                </c:pt>
                <c:pt idx="66">
                  <c:v>550</c:v>
                </c:pt>
                <c:pt idx="67">
                  <c:v>550</c:v>
                </c:pt>
                <c:pt idx="68">
                  <c:v>550</c:v>
                </c:pt>
                <c:pt idx="69">
                  <c:v>550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250</c:v>
                </c:pt>
                <c:pt idx="80">
                  <c:v>550</c:v>
                </c:pt>
                <c:pt idx="81">
                  <c:v>170</c:v>
                </c:pt>
                <c:pt idx="82">
                  <c:v>170</c:v>
                </c:pt>
                <c:pt idx="83">
                  <c:v>170</c:v>
                </c:pt>
                <c:pt idx="84">
                  <c:v>170</c:v>
                </c:pt>
                <c:pt idx="85">
                  <c:v>170</c:v>
                </c:pt>
                <c:pt idx="86">
                  <c:v>170</c:v>
                </c:pt>
                <c:pt idx="87">
                  <c:v>170</c:v>
                </c:pt>
                <c:pt idx="88">
                  <c:v>100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550</c:v>
                </c:pt>
                <c:pt idx="95">
                  <c:v>400</c:v>
                </c:pt>
                <c:pt idx="96">
                  <c:v>400</c:v>
                </c:pt>
                <c:pt idx="97">
                  <c:v>400</c:v>
                </c:pt>
                <c:pt idx="98">
                  <c:v>400</c:v>
                </c:pt>
                <c:pt idx="99">
                  <c:v>400</c:v>
                </c:pt>
                <c:pt idx="100">
                  <c:v>400</c:v>
                </c:pt>
                <c:pt idx="101">
                  <c:v>400</c:v>
                </c:pt>
                <c:pt idx="102">
                  <c:v>100</c:v>
                </c:pt>
                <c:pt idx="103">
                  <c:v>550</c:v>
                </c:pt>
                <c:pt idx="104">
                  <c:v>550</c:v>
                </c:pt>
                <c:pt idx="105">
                  <c:v>550</c:v>
                </c:pt>
                <c:pt idx="106">
                  <c:v>250</c:v>
                </c:pt>
                <c:pt idx="107">
                  <c:v>550</c:v>
                </c:pt>
                <c:pt idx="108">
                  <c:v>550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170</c:v>
                </c:pt>
                <c:pt idx="118">
                  <c:v>250</c:v>
                </c:pt>
                <c:pt idx="119">
                  <c:v>400</c:v>
                </c:pt>
                <c:pt idx="120">
                  <c:v>550</c:v>
                </c:pt>
                <c:pt idx="121">
                  <c:v>550</c:v>
                </c:pt>
                <c:pt idx="122">
                  <c:v>170</c:v>
                </c:pt>
                <c:pt idx="123">
                  <c:v>250</c:v>
                </c:pt>
                <c:pt idx="124">
                  <c:v>400</c:v>
                </c:pt>
                <c:pt idx="125">
                  <c:v>100</c:v>
                </c:pt>
                <c:pt idx="126">
                  <c:v>100</c:v>
                </c:pt>
                <c:pt idx="127">
                  <c:v>170</c:v>
                </c:pt>
                <c:pt idx="128">
                  <c:v>170</c:v>
                </c:pt>
                <c:pt idx="129">
                  <c:v>170</c:v>
                </c:pt>
                <c:pt idx="130">
                  <c:v>170</c:v>
                </c:pt>
                <c:pt idx="131">
                  <c:v>170</c:v>
                </c:pt>
                <c:pt idx="132">
                  <c:v>170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400</c:v>
                </c:pt>
                <c:pt idx="140">
                  <c:v>400</c:v>
                </c:pt>
                <c:pt idx="141">
                  <c:v>400</c:v>
                </c:pt>
                <c:pt idx="142">
                  <c:v>400</c:v>
                </c:pt>
                <c:pt idx="143">
                  <c:v>400</c:v>
                </c:pt>
                <c:pt idx="144">
                  <c:v>400</c:v>
                </c:pt>
                <c:pt idx="145">
                  <c:v>550</c:v>
                </c:pt>
                <c:pt idx="146">
                  <c:v>550</c:v>
                </c:pt>
                <c:pt idx="147">
                  <c:v>550</c:v>
                </c:pt>
                <c:pt idx="148">
                  <c:v>550</c:v>
                </c:pt>
                <c:pt idx="149">
                  <c:v>550</c:v>
                </c:pt>
                <c:pt idx="150">
                  <c:v>550</c:v>
                </c:pt>
                <c:pt idx="151">
                  <c:v>170</c:v>
                </c:pt>
                <c:pt idx="152">
                  <c:v>250</c:v>
                </c:pt>
                <c:pt idx="153">
                  <c:v>400</c:v>
                </c:pt>
                <c:pt idx="154">
                  <c:v>550</c:v>
                </c:pt>
                <c:pt idx="155">
                  <c:v>400</c:v>
                </c:pt>
                <c:pt idx="156">
                  <c:v>550</c:v>
                </c:pt>
                <c:pt idx="157">
                  <c:v>170</c:v>
                </c:pt>
                <c:pt idx="158">
                  <c:v>250</c:v>
                </c:pt>
                <c:pt idx="159">
                  <c:v>170</c:v>
                </c:pt>
                <c:pt idx="160">
                  <c:v>250</c:v>
                </c:pt>
                <c:pt idx="161">
                  <c:v>400</c:v>
                </c:pt>
                <c:pt idx="162">
                  <c:v>550</c:v>
                </c:pt>
                <c:pt idx="163">
                  <c:v>170</c:v>
                </c:pt>
                <c:pt idx="164">
                  <c:v>250</c:v>
                </c:pt>
                <c:pt idx="165">
                  <c:v>400</c:v>
                </c:pt>
                <c:pt idx="166">
                  <c:v>550</c:v>
                </c:pt>
                <c:pt idx="167">
                  <c:v>400</c:v>
                </c:pt>
                <c:pt idx="168">
                  <c:v>550</c:v>
                </c:pt>
                <c:pt idx="169">
                  <c:v>170</c:v>
                </c:pt>
                <c:pt idx="170">
                  <c:v>250</c:v>
                </c:pt>
                <c:pt idx="171">
                  <c:v>400</c:v>
                </c:pt>
                <c:pt idx="172">
                  <c:v>550</c:v>
                </c:pt>
                <c:pt idx="173">
                  <c:v>170</c:v>
                </c:pt>
                <c:pt idx="174">
                  <c:v>250</c:v>
                </c:pt>
              </c:numCache>
            </c:numRef>
          </c:xVal>
          <c:yVal>
            <c:numRef>
              <c:f>Operating_characteristics!$H$4:$H$300</c:f>
              <c:numCache>
                <c:formatCode>0</c:formatCode>
                <c:ptCount val="29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29</c:v>
                </c:pt>
                <c:pt idx="71">
                  <c:v>29</c:v>
                </c:pt>
                <c:pt idx="72">
                  <c:v>29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35</c:v>
                </c:pt>
                <c:pt idx="77">
                  <c:v>35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35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35</c:v>
                </c:pt>
                <c:pt idx="103">
                  <c:v>35</c:v>
                </c:pt>
                <c:pt idx="104">
                  <c:v>35</c:v>
                </c:pt>
                <c:pt idx="105">
                  <c:v>35</c:v>
                </c:pt>
                <c:pt idx="106">
                  <c:v>35</c:v>
                </c:pt>
                <c:pt idx="107">
                  <c:v>35</c:v>
                </c:pt>
                <c:pt idx="108">
                  <c:v>35</c:v>
                </c:pt>
                <c:pt idx="109">
                  <c:v>35</c:v>
                </c:pt>
                <c:pt idx="110">
                  <c:v>35</c:v>
                </c:pt>
                <c:pt idx="111">
                  <c:v>40</c:v>
                </c:pt>
                <c:pt idx="112">
                  <c:v>40</c:v>
                </c:pt>
                <c:pt idx="113">
                  <c:v>43</c:v>
                </c:pt>
                <c:pt idx="114">
                  <c:v>43</c:v>
                </c:pt>
                <c:pt idx="115">
                  <c:v>45</c:v>
                </c:pt>
                <c:pt idx="116">
                  <c:v>45</c:v>
                </c:pt>
                <c:pt idx="117">
                  <c:v>46</c:v>
                </c:pt>
                <c:pt idx="118">
                  <c:v>46</c:v>
                </c:pt>
                <c:pt idx="119">
                  <c:v>46</c:v>
                </c:pt>
                <c:pt idx="120">
                  <c:v>46</c:v>
                </c:pt>
                <c:pt idx="121">
                  <c:v>46</c:v>
                </c:pt>
                <c:pt idx="122">
                  <c:v>46</c:v>
                </c:pt>
                <c:pt idx="123">
                  <c:v>46</c:v>
                </c:pt>
                <c:pt idx="124">
                  <c:v>46</c:v>
                </c:pt>
                <c:pt idx="125">
                  <c:v>48</c:v>
                </c:pt>
                <c:pt idx="126">
                  <c:v>48</c:v>
                </c:pt>
                <c:pt idx="127">
                  <c:v>55</c:v>
                </c:pt>
                <c:pt idx="128">
                  <c:v>55</c:v>
                </c:pt>
                <c:pt idx="129">
                  <c:v>55</c:v>
                </c:pt>
                <c:pt idx="130">
                  <c:v>55</c:v>
                </c:pt>
                <c:pt idx="131">
                  <c:v>55</c:v>
                </c:pt>
                <c:pt idx="132">
                  <c:v>55</c:v>
                </c:pt>
                <c:pt idx="133">
                  <c:v>55</c:v>
                </c:pt>
                <c:pt idx="134">
                  <c:v>55</c:v>
                </c:pt>
                <c:pt idx="135">
                  <c:v>55</c:v>
                </c:pt>
                <c:pt idx="136">
                  <c:v>55</c:v>
                </c:pt>
                <c:pt idx="137">
                  <c:v>55</c:v>
                </c:pt>
                <c:pt idx="138">
                  <c:v>55</c:v>
                </c:pt>
                <c:pt idx="139">
                  <c:v>55</c:v>
                </c:pt>
                <c:pt idx="140">
                  <c:v>55</c:v>
                </c:pt>
                <c:pt idx="141">
                  <c:v>55</c:v>
                </c:pt>
                <c:pt idx="142">
                  <c:v>55</c:v>
                </c:pt>
                <c:pt idx="143">
                  <c:v>55</c:v>
                </c:pt>
                <c:pt idx="144">
                  <c:v>55</c:v>
                </c:pt>
                <c:pt idx="145">
                  <c:v>55</c:v>
                </c:pt>
                <c:pt idx="146">
                  <c:v>55</c:v>
                </c:pt>
                <c:pt idx="147">
                  <c:v>55</c:v>
                </c:pt>
                <c:pt idx="148">
                  <c:v>55</c:v>
                </c:pt>
                <c:pt idx="149">
                  <c:v>55</c:v>
                </c:pt>
                <c:pt idx="150">
                  <c:v>55</c:v>
                </c:pt>
                <c:pt idx="151">
                  <c:v>57</c:v>
                </c:pt>
                <c:pt idx="152">
                  <c:v>57</c:v>
                </c:pt>
                <c:pt idx="153">
                  <c:v>57</c:v>
                </c:pt>
                <c:pt idx="154">
                  <c:v>57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60-4D45-9CE8-53E20581C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620184"/>
        <c:axId val="443617304"/>
      </c:scatterChart>
      <c:valAx>
        <c:axId val="443620184"/>
        <c:scaling>
          <c:orientation val="minMax"/>
          <c:max val="55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17304"/>
        <c:crosses val="autoZero"/>
        <c:crossBetween val="midCat"/>
      </c:valAx>
      <c:valAx>
        <c:axId val="443617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20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Pout x Vin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Operating_characteristics!$F$4:$F$300</c:f>
              <c:numCache>
                <c:formatCode>0</c:formatCode>
                <c:ptCount val="297"/>
                <c:pt idx="0">
                  <c:v>10</c:v>
                </c:pt>
                <c:pt idx="1">
                  <c:v>12</c:v>
                </c:pt>
                <c:pt idx="2">
                  <c:v>18</c:v>
                </c:pt>
                <c:pt idx="3">
                  <c:v>20</c:v>
                </c:pt>
                <c:pt idx="4">
                  <c:v>15</c:v>
                </c:pt>
                <c:pt idx="5">
                  <c:v>24</c:v>
                </c:pt>
                <c:pt idx="6">
                  <c:v>10</c:v>
                </c:pt>
                <c:pt idx="7">
                  <c:v>12</c:v>
                </c:pt>
                <c:pt idx="8">
                  <c:v>15</c:v>
                </c:pt>
                <c:pt idx="9">
                  <c:v>18</c:v>
                </c:pt>
                <c:pt idx="10">
                  <c:v>20</c:v>
                </c:pt>
                <c:pt idx="11">
                  <c:v>24</c:v>
                </c:pt>
                <c:pt idx="12">
                  <c:v>15</c:v>
                </c:pt>
                <c:pt idx="13">
                  <c:v>10</c:v>
                </c:pt>
                <c:pt idx="14">
                  <c:v>12</c:v>
                </c:pt>
                <c:pt idx="15">
                  <c:v>18</c:v>
                </c:pt>
                <c:pt idx="16">
                  <c:v>20</c:v>
                </c:pt>
                <c:pt idx="17">
                  <c:v>24</c:v>
                </c:pt>
                <c:pt idx="18">
                  <c:v>10</c:v>
                </c:pt>
                <c:pt idx="19">
                  <c:v>12</c:v>
                </c:pt>
                <c:pt idx="20">
                  <c:v>15</c:v>
                </c:pt>
                <c:pt idx="21">
                  <c:v>18</c:v>
                </c:pt>
                <c:pt idx="22">
                  <c:v>20</c:v>
                </c:pt>
                <c:pt idx="23">
                  <c:v>24</c:v>
                </c:pt>
                <c:pt idx="24">
                  <c:v>15</c:v>
                </c:pt>
                <c:pt idx="25">
                  <c:v>10</c:v>
                </c:pt>
                <c:pt idx="26">
                  <c:v>12</c:v>
                </c:pt>
                <c:pt idx="27">
                  <c:v>18</c:v>
                </c:pt>
                <c:pt idx="28">
                  <c:v>20</c:v>
                </c:pt>
                <c:pt idx="29">
                  <c:v>24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10</c:v>
                </c:pt>
                <c:pt idx="37">
                  <c:v>12</c:v>
                </c:pt>
                <c:pt idx="38">
                  <c:v>15</c:v>
                </c:pt>
                <c:pt idx="39">
                  <c:v>18</c:v>
                </c:pt>
                <c:pt idx="40">
                  <c:v>20</c:v>
                </c:pt>
                <c:pt idx="41">
                  <c:v>24</c:v>
                </c:pt>
                <c:pt idx="42">
                  <c:v>9</c:v>
                </c:pt>
                <c:pt idx="43">
                  <c:v>10</c:v>
                </c:pt>
                <c:pt idx="44">
                  <c:v>12</c:v>
                </c:pt>
                <c:pt idx="45">
                  <c:v>15</c:v>
                </c:pt>
                <c:pt idx="46">
                  <c:v>18</c:v>
                </c:pt>
                <c:pt idx="47">
                  <c:v>20</c:v>
                </c:pt>
                <c:pt idx="48">
                  <c:v>24</c:v>
                </c:pt>
                <c:pt idx="49">
                  <c:v>9</c:v>
                </c:pt>
                <c:pt idx="50">
                  <c:v>10</c:v>
                </c:pt>
                <c:pt idx="51">
                  <c:v>12</c:v>
                </c:pt>
                <c:pt idx="52">
                  <c:v>15</c:v>
                </c:pt>
                <c:pt idx="53">
                  <c:v>18</c:v>
                </c:pt>
                <c:pt idx="54">
                  <c:v>20</c:v>
                </c:pt>
                <c:pt idx="55">
                  <c:v>24</c:v>
                </c:pt>
                <c:pt idx="56">
                  <c:v>9</c:v>
                </c:pt>
                <c:pt idx="57">
                  <c:v>10</c:v>
                </c:pt>
                <c:pt idx="58">
                  <c:v>12</c:v>
                </c:pt>
                <c:pt idx="59">
                  <c:v>15</c:v>
                </c:pt>
                <c:pt idx="60">
                  <c:v>18</c:v>
                </c:pt>
                <c:pt idx="61">
                  <c:v>20</c:v>
                </c:pt>
                <c:pt idx="62">
                  <c:v>24</c:v>
                </c:pt>
                <c:pt idx="63">
                  <c:v>9</c:v>
                </c:pt>
                <c:pt idx="64">
                  <c:v>10</c:v>
                </c:pt>
                <c:pt idx="65">
                  <c:v>12</c:v>
                </c:pt>
                <c:pt idx="66">
                  <c:v>15</c:v>
                </c:pt>
                <c:pt idx="67">
                  <c:v>18</c:v>
                </c:pt>
                <c:pt idx="68">
                  <c:v>20</c:v>
                </c:pt>
                <c:pt idx="69">
                  <c:v>24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15</c:v>
                </c:pt>
                <c:pt idx="77">
                  <c:v>20</c:v>
                </c:pt>
                <c:pt idx="78">
                  <c:v>12</c:v>
                </c:pt>
                <c:pt idx="79">
                  <c:v>12</c:v>
                </c:pt>
                <c:pt idx="80">
                  <c:v>12</c:v>
                </c:pt>
                <c:pt idx="81">
                  <c:v>9</c:v>
                </c:pt>
                <c:pt idx="82">
                  <c:v>10</c:v>
                </c:pt>
                <c:pt idx="83">
                  <c:v>12</c:v>
                </c:pt>
                <c:pt idx="84">
                  <c:v>15</c:v>
                </c:pt>
                <c:pt idx="85">
                  <c:v>18</c:v>
                </c:pt>
                <c:pt idx="86">
                  <c:v>20</c:v>
                </c:pt>
                <c:pt idx="87">
                  <c:v>24</c:v>
                </c:pt>
                <c:pt idx="88">
                  <c:v>18</c:v>
                </c:pt>
                <c:pt idx="89">
                  <c:v>9</c:v>
                </c:pt>
                <c:pt idx="90">
                  <c:v>10</c:v>
                </c:pt>
                <c:pt idx="91">
                  <c:v>15</c:v>
                </c:pt>
                <c:pt idx="92">
                  <c:v>20</c:v>
                </c:pt>
                <c:pt idx="93">
                  <c:v>18</c:v>
                </c:pt>
                <c:pt idx="94">
                  <c:v>18</c:v>
                </c:pt>
                <c:pt idx="95">
                  <c:v>9</c:v>
                </c:pt>
                <c:pt idx="96">
                  <c:v>10</c:v>
                </c:pt>
                <c:pt idx="97">
                  <c:v>12</c:v>
                </c:pt>
                <c:pt idx="98">
                  <c:v>15</c:v>
                </c:pt>
                <c:pt idx="99">
                  <c:v>18</c:v>
                </c:pt>
                <c:pt idx="100">
                  <c:v>20</c:v>
                </c:pt>
                <c:pt idx="101">
                  <c:v>24</c:v>
                </c:pt>
                <c:pt idx="102">
                  <c:v>24</c:v>
                </c:pt>
                <c:pt idx="103">
                  <c:v>9</c:v>
                </c:pt>
                <c:pt idx="104">
                  <c:v>10</c:v>
                </c:pt>
                <c:pt idx="105">
                  <c:v>15</c:v>
                </c:pt>
                <c:pt idx="106">
                  <c:v>24</c:v>
                </c:pt>
                <c:pt idx="107">
                  <c:v>20</c:v>
                </c:pt>
                <c:pt idx="108">
                  <c:v>24</c:v>
                </c:pt>
                <c:pt idx="109">
                  <c:v>12</c:v>
                </c:pt>
                <c:pt idx="110">
                  <c:v>12</c:v>
                </c:pt>
                <c:pt idx="111">
                  <c:v>24</c:v>
                </c:pt>
                <c:pt idx="112">
                  <c:v>15</c:v>
                </c:pt>
                <c:pt idx="113">
                  <c:v>24</c:v>
                </c:pt>
                <c:pt idx="114">
                  <c:v>18</c:v>
                </c:pt>
                <c:pt idx="115">
                  <c:v>20</c:v>
                </c:pt>
                <c:pt idx="116">
                  <c:v>20</c:v>
                </c:pt>
                <c:pt idx="117">
                  <c:v>9</c:v>
                </c:pt>
                <c:pt idx="118">
                  <c:v>9</c:v>
                </c:pt>
                <c:pt idx="119">
                  <c:v>9</c:v>
                </c:pt>
                <c:pt idx="120">
                  <c:v>9</c:v>
                </c:pt>
                <c:pt idx="121">
                  <c:v>9</c:v>
                </c:pt>
                <c:pt idx="122">
                  <c:v>9</c:v>
                </c:pt>
                <c:pt idx="123">
                  <c:v>9</c:v>
                </c:pt>
                <c:pt idx="124">
                  <c:v>9</c:v>
                </c:pt>
                <c:pt idx="125">
                  <c:v>24</c:v>
                </c:pt>
                <c:pt idx="126">
                  <c:v>24</c:v>
                </c:pt>
                <c:pt idx="127">
                  <c:v>10</c:v>
                </c:pt>
                <c:pt idx="128">
                  <c:v>12</c:v>
                </c:pt>
                <c:pt idx="129">
                  <c:v>15</c:v>
                </c:pt>
                <c:pt idx="130">
                  <c:v>18</c:v>
                </c:pt>
                <c:pt idx="131">
                  <c:v>20</c:v>
                </c:pt>
                <c:pt idx="132">
                  <c:v>24</c:v>
                </c:pt>
                <c:pt idx="133">
                  <c:v>10</c:v>
                </c:pt>
                <c:pt idx="134">
                  <c:v>12</c:v>
                </c:pt>
                <c:pt idx="135">
                  <c:v>15</c:v>
                </c:pt>
                <c:pt idx="136">
                  <c:v>18</c:v>
                </c:pt>
                <c:pt idx="137">
                  <c:v>20</c:v>
                </c:pt>
                <c:pt idx="138">
                  <c:v>24</c:v>
                </c:pt>
                <c:pt idx="139">
                  <c:v>10</c:v>
                </c:pt>
                <c:pt idx="140">
                  <c:v>12</c:v>
                </c:pt>
                <c:pt idx="141">
                  <c:v>15</c:v>
                </c:pt>
                <c:pt idx="142">
                  <c:v>18</c:v>
                </c:pt>
                <c:pt idx="143">
                  <c:v>20</c:v>
                </c:pt>
                <c:pt idx="144">
                  <c:v>24</c:v>
                </c:pt>
                <c:pt idx="145">
                  <c:v>10</c:v>
                </c:pt>
                <c:pt idx="146">
                  <c:v>12</c:v>
                </c:pt>
                <c:pt idx="147">
                  <c:v>15</c:v>
                </c:pt>
                <c:pt idx="148">
                  <c:v>18</c:v>
                </c:pt>
                <c:pt idx="149">
                  <c:v>20</c:v>
                </c:pt>
                <c:pt idx="150">
                  <c:v>24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12</c:v>
                </c:pt>
                <c:pt idx="156">
                  <c:v>12</c:v>
                </c:pt>
                <c:pt idx="157">
                  <c:v>12</c:v>
                </c:pt>
                <c:pt idx="158">
                  <c:v>12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18</c:v>
                </c:pt>
                <c:pt idx="164">
                  <c:v>18</c:v>
                </c:pt>
                <c:pt idx="165">
                  <c:v>18</c:v>
                </c:pt>
                <c:pt idx="166">
                  <c:v>18</c:v>
                </c:pt>
                <c:pt idx="167">
                  <c:v>24</c:v>
                </c:pt>
                <c:pt idx="168">
                  <c:v>24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24</c:v>
                </c:pt>
                <c:pt idx="174">
                  <c:v>24</c:v>
                </c:pt>
              </c:numCache>
            </c:numRef>
          </c:xVal>
          <c:yVal>
            <c:numRef>
              <c:f>Operating_characteristics!$H$4:$H$300</c:f>
              <c:numCache>
                <c:formatCode>0</c:formatCode>
                <c:ptCount val="29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29</c:v>
                </c:pt>
                <c:pt idx="71">
                  <c:v>29</c:v>
                </c:pt>
                <c:pt idx="72">
                  <c:v>29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35</c:v>
                </c:pt>
                <c:pt idx="77">
                  <c:v>35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35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35</c:v>
                </c:pt>
                <c:pt idx="103">
                  <c:v>35</c:v>
                </c:pt>
                <c:pt idx="104">
                  <c:v>35</c:v>
                </c:pt>
                <c:pt idx="105">
                  <c:v>35</c:v>
                </c:pt>
                <c:pt idx="106">
                  <c:v>35</c:v>
                </c:pt>
                <c:pt idx="107">
                  <c:v>35</c:v>
                </c:pt>
                <c:pt idx="108">
                  <c:v>35</c:v>
                </c:pt>
                <c:pt idx="109">
                  <c:v>35</c:v>
                </c:pt>
                <c:pt idx="110">
                  <c:v>35</c:v>
                </c:pt>
                <c:pt idx="111">
                  <c:v>40</c:v>
                </c:pt>
                <c:pt idx="112">
                  <c:v>40</c:v>
                </c:pt>
                <c:pt idx="113">
                  <c:v>43</c:v>
                </c:pt>
                <c:pt idx="114">
                  <c:v>43</c:v>
                </c:pt>
                <c:pt idx="115">
                  <c:v>45</c:v>
                </c:pt>
                <c:pt idx="116">
                  <c:v>45</c:v>
                </c:pt>
                <c:pt idx="117">
                  <c:v>46</c:v>
                </c:pt>
                <c:pt idx="118">
                  <c:v>46</c:v>
                </c:pt>
                <c:pt idx="119">
                  <c:v>46</c:v>
                </c:pt>
                <c:pt idx="120">
                  <c:v>46</c:v>
                </c:pt>
                <c:pt idx="121">
                  <c:v>46</c:v>
                </c:pt>
                <c:pt idx="122">
                  <c:v>46</c:v>
                </c:pt>
                <c:pt idx="123">
                  <c:v>46</c:v>
                </c:pt>
                <c:pt idx="124">
                  <c:v>46</c:v>
                </c:pt>
                <c:pt idx="125">
                  <c:v>48</c:v>
                </c:pt>
                <c:pt idx="126">
                  <c:v>48</c:v>
                </c:pt>
                <c:pt idx="127">
                  <c:v>55</c:v>
                </c:pt>
                <c:pt idx="128">
                  <c:v>55</c:v>
                </c:pt>
                <c:pt idx="129">
                  <c:v>55</c:v>
                </c:pt>
                <c:pt idx="130">
                  <c:v>55</c:v>
                </c:pt>
                <c:pt idx="131">
                  <c:v>55</c:v>
                </c:pt>
                <c:pt idx="132">
                  <c:v>55</c:v>
                </c:pt>
                <c:pt idx="133">
                  <c:v>55</c:v>
                </c:pt>
                <c:pt idx="134">
                  <c:v>55</c:v>
                </c:pt>
                <c:pt idx="135">
                  <c:v>55</c:v>
                </c:pt>
                <c:pt idx="136">
                  <c:v>55</c:v>
                </c:pt>
                <c:pt idx="137">
                  <c:v>55</c:v>
                </c:pt>
                <c:pt idx="138">
                  <c:v>55</c:v>
                </c:pt>
                <c:pt idx="139">
                  <c:v>55</c:v>
                </c:pt>
                <c:pt idx="140">
                  <c:v>55</c:v>
                </c:pt>
                <c:pt idx="141">
                  <c:v>55</c:v>
                </c:pt>
                <c:pt idx="142">
                  <c:v>55</c:v>
                </c:pt>
                <c:pt idx="143">
                  <c:v>55</c:v>
                </c:pt>
                <c:pt idx="144">
                  <c:v>55</c:v>
                </c:pt>
                <c:pt idx="145">
                  <c:v>55</c:v>
                </c:pt>
                <c:pt idx="146">
                  <c:v>55</c:v>
                </c:pt>
                <c:pt idx="147">
                  <c:v>55</c:v>
                </c:pt>
                <c:pt idx="148">
                  <c:v>55</c:v>
                </c:pt>
                <c:pt idx="149">
                  <c:v>55</c:v>
                </c:pt>
                <c:pt idx="150">
                  <c:v>55</c:v>
                </c:pt>
                <c:pt idx="151">
                  <c:v>57</c:v>
                </c:pt>
                <c:pt idx="152">
                  <c:v>57</c:v>
                </c:pt>
                <c:pt idx="153">
                  <c:v>57</c:v>
                </c:pt>
                <c:pt idx="154">
                  <c:v>57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C5-467A-9B60-112FA2235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620184"/>
        <c:axId val="443617304"/>
      </c:scatterChart>
      <c:valAx>
        <c:axId val="443620184"/>
        <c:scaling>
          <c:orientation val="minMax"/>
          <c:max val="24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17304"/>
        <c:crosses val="autoZero"/>
        <c:crossBetween val="midCat"/>
      </c:valAx>
      <c:valAx>
        <c:axId val="443617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20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Ilpk x Pout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Operating_characteristics!$H$4:$H$300</c:f>
              <c:numCache>
                <c:formatCode>0</c:formatCode>
                <c:ptCount val="29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29</c:v>
                </c:pt>
                <c:pt idx="71">
                  <c:v>29</c:v>
                </c:pt>
                <c:pt idx="72">
                  <c:v>29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35</c:v>
                </c:pt>
                <c:pt idx="77">
                  <c:v>35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35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35</c:v>
                </c:pt>
                <c:pt idx="103">
                  <c:v>35</c:v>
                </c:pt>
                <c:pt idx="104">
                  <c:v>35</c:v>
                </c:pt>
                <c:pt idx="105">
                  <c:v>35</c:v>
                </c:pt>
                <c:pt idx="106">
                  <c:v>35</c:v>
                </c:pt>
                <c:pt idx="107">
                  <c:v>35</c:v>
                </c:pt>
                <c:pt idx="108">
                  <c:v>35</c:v>
                </c:pt>
                <c:pt idx="109">
                  <c:v>35</c:v>
                </c:pt>
                <c:pt idx="110">
                  <c:v>35</c:v>
                </c:pt>
                <c:pt idx="111">
                  <c:v>40</c:v>
                </c:pt>
                <c:pt idx="112">
                  <c:v>40</c:v>
                </c:pt>
                <c:pt idx="113">
                  <c:v>43</c:v>
                </c:pt>
                <c:pt idx="114">
                  <c:v>43</c:v>
                </c:pt>
                <c:pt idx="115">
                  <c:v>45</c:v>
                </c:pt>
                <c:pt idx="116">
                  <c:v>45</c:v>
                </c:pt>
                <c:pt idx="117">
                  <c:v>46</c:v>
                </c:pt>
                <c:pt idx="118">
                  <c:v>46</c:v>
                </c:pt>
                <c:pt idx="119">
                  <c:v>46</c:v>
                </c:pt>
                <c:pt idx="120">
                  <c:v>46</c:v>
                </c:pt>
                <c:pt idx="121">
                  <c:v>46</c:v>
                </c:pt>
                <c:pt idx="122">
                  <c:v>46</c:v>
                </c:pt>
                <c:pt idx="123">
                  <c:v>46</c:v>
                </c:pt>
                <c:pt idx="124">
                  <c:v>46</c:v>
                </c:pt>
                <c:pt idx="125">
                  <c:v>48</c:v>
                </c:pt>
                <c:pt idx="126">
                  <c:v>48</c:v>
                </c:pt>
                <c:pt idx="127">
                  <c:v>55</c:v>
                </c:pt>
                <c:pt idx="128">
                  <c:v>55</c:v>
                </c:pt>
                <c:pt idx="129">
                  <c:v>55</c:v>
                </c:pt>
                <c:pt idx="130">
                  <c:v>55</c:v>
                </c:pt>
                <c:pt idx="131">
                  <c:v>55</c:v>
                </c:pt>
                <c:pt idx="132">
                  <c:v>55</c:v>
                </c:pt>
                <c:pt idx="133">
                  <c:v>55</c:v>
                </c:pt>
                <c:pt idx="134">
                  <c:v>55</c:v>
                </c:pt>
                <c:pt idx="135">
                  <c:v>55</c:v>
                </c:pt>
                <c:pt idx="136">
                  <c:v>55</c:v>
                </c:pt>
                <c:pt idx="137">
                  <c:v>55</c:v>
                </c:pt>
                <c:pt idx="138">
                  <c:v>55</c:v>
                </c:pt>
                <c:pt idx="139">
                  <c:v>55</c:v>
                </c:pt>
                <c:pt idx="140">
                  <c:v>55</c:v>
                </c:pt>
                <c:pt idx="141">
                  <c:v>55</c:v>
                </c:pt>
                <c:pt idx="142">
                  <c:v>55</c:v>
                </c:pt>
                <c:pt idx="143">
                  <c:v>55</c:v>
                </c:pt>
                <c:pt idx="144">
                  <c:v>55</c:v>
                </c:pt>
                <c:pt idx="145">
                  <c:v>55</c:v>
                </c:pt>
                <c:pt idx="146">
                  <c:v>55</c:v>
                </c:pt>
                <c:pt idx="147">
                  <c:v>55</c:v>
                </c:pt>
                <c:pt idx="148">
                  <c:v>55</c:v>
                </c:pt>
                <c:pt idx="149">
                  <c:v>55</c:v>
                </c:pt>
                <c:pt idx="150">
                  <c:v>55</c:v>
                </c:pt>
                <c:pt idx="151">
                  <c:v>57</c:v>
                </c:pt>
                <c:pt idx="152">
                  <c:v>57</c:v>
                </c:pt>
                <c:pt idx="153">
                  <c:v>57</c:v>
                </c:pt>
                <c:pt idx="154">
                  <c:v>57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</c:numCache>
            </c:numRef>
          </c:xVal>
          <c:yVal>
            <c:numRef>
              <c:f>Operating_characteristics!$O$4:$O$300</c:f>
              <c:numCache>
                <c:formatCode>0.0</c:formatCode>
                <c:ptCount val="297"/>
                <c:pt idx="0">
                  <c:v>7.5164602800282889</c:v>
                </c:pt>
                <c:pt idx="1">
                  <c:v>7.5164602800282889</c:v>
                </c:pt>
                <c:pt idx="2">
                  <c:v>7.5164602800282889</c:v>
                </c:pt>
                <c:pt idx="3">
                  <c:v>7.5164602800282889</c:v>
                </c:pt>
                <c:pt idx="4">
                  <c:v>7.5164602800282889</c:v>
                </c:pt>
                <c:pt idx="5">
                  <c:v>7.5164602800282889</c:v>
                </c:pt>
                <c:pt idx="6">
                  <c:v>7.5164602800282889</c:v>
                </c:pt>
                <c:pt idx="7">
                  <c:v>7.5164602800282889</c:v>
                </c:pt>
                <c:pt idx="8">
                  <c:v>7.5164602800282889</c:v>
                </c:pt>
                <c:pt idx="9">
                  <c:v>7.5164602800282889</c:v>
                </c:pt>
                <c:pt idx="10">
                  <c:v>7.5164602800282889</c:v>
                </c:pt>
                <c:pt idx="11">
                  <c:v>7.5164602800282889</c:v>
                </c:pt>
                <c:pt idx="12">
                  <c:v>7.5164602800282889</c:v>
                </c:pt>
                <c:pt idx="13">
                  <c:v>7.5164602800282889</c:v>
                </c:pt>
                <c:pt idx="14">
                  <c:v>7.5164602800282889</c:v>
                </c:pt>
                <c:pt idx="15">
                  <c:v>7.5164602800282889</c:v>
                </c:pt>
                <c:pt idx="16">
                  <c:v>7.5164602800282889</c:v>
                </c:pt>
                <c:pt idx="17">
                  <c:v>7.5164602800282889</c:v>
                </c:pt>
                <c:pt idx="18">
                  <c:v>7.5164602800282889</c:v>
                </c:pt>
                <c:pt idx="19">
                  <c:v>7.5164602800282889</c:v>
                </c:pt>
                <c:pt idx="20">
                  <c:v>7.5164602800282889</c:v>
                </c:pt>
                <c:pt idx="21">
                  <c:v>7.5164602800282889</c:v>
                </c:pt>
                <c:pt idx="22">
                  <c:v>7.5164602800282889</c:v>
                </c:pt>
                <c:pt idx="23">
                  <c:v>7.5164602800282889</c:v>
                </c:pt>
                <c:pt idx="24">
                  <c:v>7.5164602800282889</c:v>
                </c:pt>
                <c:pt idx="25">
                  <c:v>7.5164602800282889</c:v>
                </c:pt>
                <c:pt idx="26">
                  <c:v>7.5164602800282889</c:v>
                </c:pt>
                <c:pt idx="27">
                  <c:v>7.5164602800282889</c:v>
                </c:pt>
                <c:pt idx="28">
                  <c:v>7.5164602800282889</c:v>
                </c:pt>
                <c:pt idx="29">
                  <c:v>7.5164602800282889</c:v>
                </c:pt>
                <c:pt idx="30">
                  <c:v>7.5164602800282889</c:v>
                </c:pt>
                <c:pt idx="31">
                  <c:v>7.5164602800282889</c:v>
                </c:pt>
                <c:pt idx="32">
                  <c:v>7.5164602800282889</c:v>
                </c:pt>
                <c:pt idx="33">
                  <c:v>7.5164602800282889</c:v>
                </c:pt>
                <c:pt idx="34">
                  <c:v>7.5164602800282889</c:v>
                </c:pt>
                <c:pt idx="35">
                  <c:v>15.032920560056578</c:v>
                </c:pt>
                <c:pt idx="36">
                  <c:v>15.032920560056578</c:v>
                </c:pt>
                <c:pt idx="37">
                  <c:v>15.032920560056578</c:v>
                </c:pt>
                <c:pt idx="38">
                  <c:v>15.032920560056578</c:v>
                </c:pt>
                <c:pt idx="39">
                  <c:v>15.032920560056578</c:v>
                </c:pt>
                <c:pt idx="40">
                  <c:v>15.032920560056578</c:v>
                </c:pt>
                <c:pt idx="41">
                  <c:v>15.032920560056578</c:v>
                </c:pt>
                <c:pt idx="42">
                  <c:v>15.032920560056578</c:v>
                </c:pt>
                <c:pt idx="43">
                  <c:v>15.032920560056578</c:v>
                </c:pt>
                <c:pt idx="44">
                  <c:v>15.032920560056578</c:v>
                </c:pt>
                <c:pt idx="45">
                  <c:v>15.032920560056578</c:v>
                </c:pt>
                <c:pt idx="46">
                  <c:v>15.032920560056578</c:v>
                </c:pt>
                <c:pt idx="47">
                  <c:v>15.032920560056578</c:v>
                </c:pt>
                <c:pt idx="48">
                  <c:v>15.032920560056578</c:v>
                </c:pt>
                <c:pt idx="49">
                  <c:v>15.032920560056578</c:v>
                </c:pt>
                <c:pt idx="50">
                  <c:v>15.032920560056578</c:v>
                </c:pt>
                <c:pt idx="51">
                  <c:v>15.032920560056578</c:v>
                </c:pt>
                <c:pt idx="52">
                  <c:v>15.032920560056578</c:v>
                </c:pt>
                <c:pt idx="53">
                  <c:v>15.032920560056578</c:v>
                </c:pt>
                <c:pt idx="54">
                  <c:v>15.032920560056578</c:v>
                </c:pt>
                <c:pt idx="55">
                  <c:v>15.032920560056578</c:v>
                </c:pt>
                <c:pt idx="56">
                  <c:v>15.032920560056578</c:v>
                </c:pt>
                <c:pt idx="57">
                  <c:v>15.032920560056578</c:v>
                </c:pt>
                <c:pt idx="58">
                  <c:v>15.032920560056578</c:v>
                </c:pt>
                <c:pt idx="59">
                  <c:v>15.032920560056578</c:v>
                </c:pt>
                <c:pt idx="60">
                  <c:v>15.032920560056578</c:v>
                </c:pt>
                <c:pt idx="61">
                  <c:v>15.032920560056578</c:v>
                </c:pt>
                <c:pt idx="62">
                  <c:v>15.032920560056578</c:v>
                </c:pt>
                <c:pt idx="63">
                  <c:v>15.032920560056578</c:v>
                </c:pt>
                <c:pt idx="64">
                  <c:v>15.032920560056578</c:v>
                </c:pt>
                <c:pt idx="65">
                  <c:v>15.032920560056578</c:v>
                </c:pt>
                <c:pt idx="66">
                  <c:v>15.032920560056578</c:v>
                </c:pt>
                <c:pt idx="67">
                  <c:v>15.032920560056578</c:v>
                </c:pt>
                <c:pt idx="68">
                  <c:v>15.032920560056578</c:v>
                </c:pt>
                <c:pt idx="69">
                  <c:v>15.032920560056578</c:v>
                </c:pt>
                <c:pt idx="70">
                  <c:v>18.102033471939254</c:v>
                </c:pt>
                <c:pt idx="71">
                  <c:v>18.102033471939254</c:v>
                </c:pt>
                <c:pt idx="72">
                  <c:v>18.102033471939254</c:v>
                </c:pt>
                <c:pt idx="73">
                  <c:v>18.715835163724492</c:v>
                </c:pt>
                <c:pt idx="74">
                  <c:v>18.715835163724492</c:v>
                </c:pt>
                <c:pt idx="75">
                  <c:v>18.715835163724492</c:v>
                </c:pt>
                <c:pt idx="76">
                  <c:v>19.886684640449765</c:v>
                </c:pt>
                <c:pt idx="77">
                  <c:v>19.886684640449765</c:v>
                </c:pt>
                <c:pt idx="78">
                  <c:v>19.886684640449765</c:v>
                </c:pt>
                <c:pt idx="79">
                  <c:v>19.886684640449765</c:v>
                </c:pt>
                <c:pt idx="80">
                  <c:v>19.886684640449765</c:v>
                </c:pt>
                <c:pt idx="81">
                  <c:v>19.886684640449765</c:v>
                </c:pt>
                <c:pt idx="82">
                  <c:v>19.886684640449765</c:v>
                </c:pt>
                <c:pt idx="83">
                  <c:v>19.886684640449765</c:v>
                </c:pt>
                <c:pt idx="84">
                  <c:v>19.886684640449765</c:v>
                </c:pt>
                <c:pt idx="85">
                  <c:v>19.886684640449765</c:v>
                </c:pt>
                <c:pt idx="86">
                  <c:v>19.886684640449765</c:v>
                </c:pt>
                <c:pt idx="87">
                  <c:v>19.886684640449765</c:v>
                </c:pt>
                <c:pt idx="88">
                  <c:v>19.886684640449765</c:v>
                </c:pt>
                <c:pt idx="89">
                  <c:v>19.886684640449765</c:v>
                </c:pt>
                <c:pt idx="90">
                  <c:v>19.886684640449765</c:v>
                </c:pt>
                <c:pt idx="91">
                  <c:v>19.886684640449765</c:v>
                </c:pt>
                <c:pt idx="92">
                  <c:v>19.886684640449765</c:v>
                </c:pt>
                <c:pt idx="93">
                  <c:v>19.886684640449765</c:v>
                </c:pt>
                <c:pt idx="94">
                  <c:v>19.886684640449765</c:v>
                </c:pt>
                <c:pt idx="95">
                  <c:v>19.886684640449765</c:v>
                </c:pt>
                <c:pt idx="96">
                  <c:v>19.886684640449765</c:v>
                </c:pt>
                <c:pt idx="97">
                  <c:v>19.886684640449765</c:v>
                </c:pt>
                <c:pt idx="98">
                  <c:v>19.886684640449765</c:v>
                </c:pt>
                <c:pt idx="99">
                  <c:v>19.886684640449765</c:v>
                </c:pt>
                <c:pt idx="100">
                  <c:v>19.886684640449765</c:v>
                </c:pt>
                <c:pt idx="101">
                  <c:v>19.886684640449765</c:v>
                </c:pt>
                <c:pt idx="102">
                  <c:v>19.886684640449765</c:v>
                </c:pt>
                <c:pt idx="103">
                  <c:v>19.886684640449765</c:v>
                </c:pt>
                <c:pt idx="104">
                  <c:v>19.886684640449765</c:v>
                </c:pt>
                <c:pt idx="105">
                  <c:v>19.886684640449765</c:v>
                </c:pt>
                <c:pt idx="106">
                  <c:v>19.886684640449765</c:v>
                </c:pt>
                <c:pt idx="107">
                  <c:v>19.886684640449765</c:v>
                </c:pt>
                <c:pt idx="108">
                  <c:v>19.886684640449765</c:v>
                </c:pt>
                <c:pt idx="109">
                  <c:v>19.886684640449765</c:v>
                </c:pt>
                <c:pt idx="110">
                  <c:v>19.886684640449765</c:v>
                </c:pt>
                <c:pt idx="111">
                  <c:v>21.259760138109357</c:v>
                </c:pt>
                <c:pt idx="112">
                  <c:v>21.259760138109357</c:v>
                </c:pt>
                <c:pt idx="113">
                  <c:v>22.042588464485956</c:v>
                </c:pt>
                <c:pt idx="114">
                  <c:v>22.042588464485956</c:v>
                </c:pt>
                <c:pt idx="115">
                  <c:v>22.549380840084869</c:v>
                </c:pt>
                <c:pt idx="116">
                  <c:v>22.549380840084869</c:v>
                </c:pt>
                <c:pt idx="117">
                  <c:v>22.798552833446141</c:v>
                </c:pt>
                <c:pt idx="118">
                  <c:v>22.798552833446141</c:v>
                </c:pt>
                <c:pt idx="119">
                  <c:v>22.798552833446141</c:v>
                </c:pt>
                <c:pt idx="120">
                  <c:v>22.798552833446141</c:v>
                </c:pt>
                <c:pt idx="121">
                  <c:v>22.798552833446141</c:v>
                </c:pt>
                <c:pt idx="122">
                  <c:v>22.798552833446141</c:v>
                </c:pt>
                <c:pt idx="123">
                  <c:v>22.798552833446141</c:v>
                </c:pt>
                <c:pt idx="124">
                  <c:v>22.798552833446141</c:v>
                </c:pt>
                <c:pt idx="125">
                  <c:v>23.288900389583279</c:v>
                </c:pt>
                <c:pt idx="126">
                  <c:v>23.288900389583279</c:v>
                </c:pt>
                <c:pt idx="127">
                  <c:v>24.929278500463511</c:v>
                </c:pt>
                <c:pt idx="128">
                  <c:v>24.929278500463511</c:v>
                </c:pt>
                <c:pt idx="129">
                  <c:v>24.929278500463511</c:v>
                </c:pt>
                <c:pt idx="130">
                  <c:v>24.929278500463511</c:v>
                </c:pt>
                <c:pt idx="131">
                  <c:v>24.929278500463511</c:v>
                </c:pt>
                <c:pt idx="132">
                  <c:v>24.929278500463511</c:v>
                </c:pt>
                <c:pt idx="133">
                  <c:v>24.929278500463511</c:v>
                </c:pt>
                <c:pt idx="134">
                  <c:v>24.929278500463511</c:v>
                </c:pt>
                <c:pt idx="135">
                  <c:v>24.929278500463511</c:v>
                </c:pt>
                <c:pt idx="136">
                  <c:v>24.929278500463511</c:v>
                </c:pt>
                <c:pt idx="137">
                  <c:v>24.929278500463511</c:v>
                </c:pt>
                <c:pt idx="138">
                  <c:v>24.929278500463511</c:v>
                </c:pt>
                <c:pt idx="139">
                  <c:v>24.929278500463511</c:v>
                </c:pt>
                <c:pt idx="140">
                  <c:v>24.929278500463511</c:v>
                </c:pt>
                <c:pt idx="141">
                  <c:v>24.929278500463511</c:v>
                </c:pt>
                <c:pt idx="142">
                  <c:v>24.929278500463511</c:v>
                </c:pt>
                <c:pt idx="143">
                  <c:v>24.929278500463511</c:v>
                </c:pt>
                <c:pt idx="144">
                  <c:v>24.929278500463511</c:v>
                </c:pt>
                <c:pt idx="145">
                  <c:v>24.929278500463511</c:v>
                </c:pt>
                <c:pt idx="146">
                  <c:v>24.929278500463511</c:v>
                </c:pt>
                <c:pt idx="147">
                  <c:v>24.929278500463511</c:v>
                </c:pt>
                <c:pt idx="148">
                  <c:v>24.929278500463511</c:v>
                </c:pt>
                <c:pt idx="149">
                  <c:v>24.929278500463511</c:v>
                </c:pt>
                <c:pt idx="150">
                  <c:v>24.929278500463511</c:v>
                </c:pt>
                <c:pt idx="151">
                  <c:v>25.378490826094637</c:v>
                </c:pt>
                <c:pt idx="152">
                  <c:v>25.378490826094637</c:v>
                </c:pt>
                <c:pt idx="153">
                  <c:v>25.378490826094637</c:v>
                </c:pt>
                <c:pt idx="154">
                  <c:v>25.378490826094637</c:v>
                </c:pt>
                <c:pt idx="155">
                  <c:v>28.124019129160775</c:v>
                </c:pt>
                <c:pt idx="156">
                  <c:v>28.124019129160775</c:v>
                </c:pt>
                <c:pt idx="157">
                  <c:v>28.124019129160775</c:v>
                </c:pt>
                <c:pt idx="158">
                  <c:v>28.124019129160775</c:v>
                </c:pt>
                <c:pt idx="159">
                  <c:v>28.124019129160775</c:v>
                </c:pt>
                <c:pt idx="160">
                  <c:v>28.124019129160775</c:v>
                </c:pt>
                <c:pt idx="161">
                  <c:v>28.124019129160775</c:v>
                </c:pt>
                <c:pt idx="162">
                  <c:v>28.124019129160775</c:v>
                </c:pt>
                <c:pt idx="163">
                  <c:v>28.124019129160775</c:v>
                </c:pt>
                <c:pt idx="164">
                  <c:v>28.124019129160775</c:v>
                </c:pt>
                <c:pt idx="165">
                  <c:v>28.124019129160775</c:v>
                </c:pt>
                <c:pt idx="166">
                  <c:v>28.124019129160775</c:v>
                </c:pt>
                <c:pt idx="167">
                  <c:v>28.124019129160775</c:v>
                </c:pt>
                <c:pt idx="168">
                  <c:v>28.124019129160775</c:v>
                </c:pt>
                <c:pt idx="169">
                  <c:v>28.124019129160775</c:v>
                </c:pt>
                <c:pt idx="170">
                  <c:v>28.124019129160775</c:v>
                </c:pt>
                <c:pt idx="171">
                  <c:v>28.124019129160775</c:v>
                </c:pt>
                <c:pt idx="172">
                  <c:v>28.124019129160775</c:v>
                </c:pt>
                <c:pt idx="173">
                  <c:v>28.124019129160775</c:v>
                </c:pt>
                <c:pt idx="174">
                  <c:v>28.124019129160775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DF-4A36-A787-3882E38BD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815592"/>
        <c:axId val="770817392"/>
      </c:scatterChart>
      <c:valAx>
        <c:axId val="770815592"/>
        <c:scaling>
          <c:orientation val="minMax"/>
          <c:max val="70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817392"/>
        <c:crosses val="autoZero"/>
        <c:crossBetween val="midCat"/>
        <c:majorUnit val="5"/>
      </c:valAx>
      <c:valAx>
        <c:axId val="77081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815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337598428466351E-2"/>
          <c:y val="3.5555551030869194E-2"/>
          <c:w val="0.88652973908184662"/>
          <c:h val="0.88946015882158158"/>
        </c:manualLayout>
      </c:layout>
      <c:scatterChart>
        <c:scatterStyle val="lineMarker"/>
        <c:varyColors val="0"/>
        <c:ser>
          <c:idx val="0"/>
          <c:order val="0"/>
          <c:tx>
            <c:strRef>
              <c:f>compensation!$I$7</c:f>
              <c:strCache>
                <c:ptCount val="1"/>
                <c:pt idx="0">
                  <c:v>100Vx70W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compensation!$H$8:$H$14</c:f>
              <c:numCache>
                <c:formatCode>0.00</c:formatCode>
                <c:ptCount val="7"/>
                <c:pt idx="0">
                  <c:v>1.1140846016432672E-2</c:v>
                </c:pt>
                <c:pt idx="1">
                  <c:v>1.1140846016432673</c:v>
                </c:pt>
                <c:pt idx="2">
                  <c:v>111.40846016432673</c:v>
                </c:pt>
                <c:pt idx="3">
                  <c:v>1114.0846016432672</c:v>
                </c:pt>
                <c:pt idx="4">
                  <c:v>11140.846016432672</c:v>
                </c:pt>
                <c:pt idx="5">
                  <c:v>15915.494309189533</c:v>
                </c:pt>
                <c:pt idx="6">
                  <c:v>159154.94309189531</c:v>
                </c:pt>
              </c:numCache>
            </c:numRef>
          </c:xVal>
          <c:yVal>
            <c:numRef>
              <c:f>compensation!$I$8:$I$14</c:f>
              <c:numCache>
                <c:formatCode>0</c:formatCode>
                <c:ptCount val="7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20</c:v>
                </c:pt>
                <c:pt idx="4">
                  <c:v>0</c:v>
                </c:pt>
                <c:pt idx="5">
                  <c:v>-3</c:v>
                </c:pt>
                <c:pt idx="6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55-4E90-9059-832E1D7FE379}"/>
            </c:ext>
          </c:extLst>
        </c:ser>
        <c:ser>
          <c:idx val="1"/>
          <c:order val="1"/>
          <c:tx>
            <c:strRef>
              <c:f>compensation!$L$7</c:f>
              <c:strCache>
                <c:ptCount val="1"/>
                <c:pt idx="0">
                  <c:v>500Vx5W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compensation!$K$8:$K$16</c:f>
              <c:numCache>
                <c:formatCode>0.0</c:formatCode>
                <c:ptCount val="9"/>
                <c:pt idx="0">
                  <c:v>3.1830988618379061E-5</c:v>
                </c:pt>
                <c:pt idx="1">
                  <c:v>3.1830988618379063E-3</c:v>
                </c:pt>
                <c:pt idx="2">
                  <c:v>0.31830988618379064</c:v>
                </c:pt>
                <c:pt idx="3">
                  <c:v>3.1830988618379061</c:v>
                </c:pt>
                <c:pt idx="4">
                  <c:v>31.83098861837906</c:v>
                </c:pt>
                <c:pt idx="5">
                  <c:v>318.30988618379058</c:v>
                </c:pt>
                <c:pt idx="6">
                  <c:v>3183.098861837906</c:v>
                </c:pt>
                <c:pt idx="7">
                  <c:v>15915.494309189533</c:v>
                </c:pt>
                <c:pt idx="8">
                  <c:v>159154.94309189531</c:v>
                </c:pt>
              </c:numCache>
            </c:numRef>
          </c:xVal>
          <c:yVal>
            <c:numRef>
              <c:f>compensation!$L$8:$L$16</c:f>
              <c:numCache>
                <c:formatCode>0</c:formatCode>
                <c:ptCount val="9"/>
                <c:pt idx="0">
                  <c:v>53.979400086720375</c:v>
                </c:pt>
                <c:pt idx="1">
                  <c:v>53.979400086720375</c:v>
                </c:pt>
                <c:pt idx="2">
                  <c:v>53.979400086720375</c:v>
                </c:pt>
                <c:pt idx="3">
                  <c:v>33.979400086720375</c:v>
                </c:pt>
                <c:pt idx="4">
                  <c:v>13.979400086720375</c:v>
                </c:pt>
                <c:pt idx="5">
                  <c:v>-6.0205999132796251</c:v>
                </c:pt>
                <c:pt idx="6">
                  <c:v>-26.020599913279625</c:v>
                </c:pt>
                <c:pt idx="7">
                  <c:v>-40</c:v>
                </c:pt>
                <c:pt idx="8">
                  <c:v>-40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55-4E90-9059-832E1D7FE379}"/>
            </c:ext>
          </c:extLst>
        </c:ser>
        <c:ser>
          <c:idx val="2"/>
          <c:order val="2"/>
          <c:tx>
            <c:strRef>
              <c:f>compensation!$O$7</c:f>
              <c:strCache>
                <c:ptCount val="1"/>
                <c:pt idx="0">
                  <c:v>100Vx5W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compensation!$N$8:$N$15</c:f>
              <c:numCache>
                <c:formatCode>0.0</c:formatCode>
                <c:ptCount val="8"/>
                <c:pt idx="0">
                  <c:v>7.9577471545947678E-4</c:v>
                </c:pt>
                <c:pt idx="1">
                  <c:v>7.9577471545947673E-2</c:v>
                </c:pt>
                <c:pt idx="2">
                  <c:v>7.9577471545947667</c:v>
                </c:pt>
                <c:pt idx="3">
                  <c:v>79.577471545947674</c:v>
                </c:pt>
                <c:pt idx="4">
                  <c:v>795.77471545947674</c:v>
                </c:pt>
                <c:pt idx="5">
                  <c:v>7957.7471545947674</c:v>
                </c:pt>
                <c:pt idx="6">
                  <c:v>15915.494309189533</c:v>
                </c:pt>
                <c:pt idx="7">
                  <c:v>159154.94309189531</c:v>
                </c:pt>
              </c:numCache>
            </c:numRef>
          </c:xVal>
          <c:yVal>
            <c:numRef>
              <c:f>compensation!$O$8:$O$15</c:f>
              <c:numCache>
                <c:formatCode>0</c:formatCode>
                <c:ptCount val="8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20</c:v>
                </c:pt>
                <c:pt idx="4">
                  <c:v>0</c:v>
                </c:pt>
                <c:pt idx="5">
                  <c:v>-20</c:v>
                </c:pt>
                <c:pt idx="6">
                  <c:v>-26</c:v>
                </c:pt>
                <c:pt idx="7">
                  <c:v>-26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55-4E90-9059-832E1D7FE379}"/>
            </c:ext>
          </c:extLst>
        </c:ser>
        <c:ser>
          <c:idx val="3"/>
          <c:order val="3"/>
          <c:tx>
            <c:strRef>
              <c:f>compensation!$R$7</c:f>
              <c:strCache>
                <c:ptCount val="1"/>
                <c:pt idx="0">
                  <c:v>500Vx70W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compensation!$Q$8:$Q$15</c:f>
              <c:numCache>
                <c:formatCode>0.0</c:formatCode>
                <c:ptCount val="8"/>
                <c:pt idx="0">
                  <c:v>4.4563384065730692E-4</c:v>
                </c:pt>
                <c:pt idx="1">
                  <c:v>4.4563384065730689E-2</c:v>
                </c:pt>
                <c:pt idx="2">
                  <c:v>4.4563384065730691</c:v>
                </c:pt>
                <c:pt idx="3">
                  <c:v>44.563384065730688</c:v>
                </c:pt>
                <c:pt idx="4">
                  <c:v>445.63384065730691</c:v>
                </c:pt>
                <c:pt idx="5">
                  <c:v>4456.3384065730688</c:v>
                </c:pt>
                <c:pt idx="6">
                  <c:v>15915.494309189533</c:v>
                </c:pt>
                <c:pt idx="7">
                  <c:v>159154.94309189531</c:v>
                </c:pt>
              </c:numCache>
            </c:numRef>
          </c:xVal>
          <c:yVal>
            <c:numRef>
              <c:f>compensation!$R$8:$R$15</c:f>
              <c:numCache>
                <c:formatCode>0.00</c:formatCode>
                <c:ptCount val="8"/>
                <c:pt idx="0" formatCode="0">
                  <c:v>53.979400086720375</c:v>
                </c:pt>
                <c:pt idx="1">
                  <c:v>53.979400086720375</c:v>
                </c:pt>
                <c:pt idx="2" formatCode="0">
                  <c:v>53.979400086720375</c:v>
                </c:pt>
                <c:pt idx="3" formatCode="0">
                  <c:v>33.979400086720375</c:v>
                </c:pt>
                <c:pt idx="4" formatCode="0">
                  <c:v>13.979400086720375</c:v>
                </c:pt>
                <c:pt idx="5" formatCode="0">
                  <c:v>-6.0205999132796251</c:v>
                </c:pt>
                <c:pt idx="6" formatCode="0">
                  <c:v>-16.7</c:v>
                </c:pt>
                <c:pt idx="7" formatCode="0">
                  <c:v>-16.7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55-4E90-9059-832E1D7FE379}"/>
            </c:ext>
          </c:extLst>
        </c:ser>
        <c:ser>
          <c:idx val="5"/>
          <c:order val="4"/>
          <c:tx>
            <c:strRef>
              <c:f>compensation!$I$22</c:f>
              <c:strCache>
                <c:ptCount val="1"/>
                <c:pt idx="0">
                  <c:v>Comp #1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compensation!$H$23:$H$26</c:f>
              <c:numCache>
                <c:formatCode>0.00</c:formatCode>
                <c:ptCount val="4"/>
                <c:pt idx="0" formatCode="General">
                  <c:v>1.0610329539459689E-2</c:v>
                </c:pt>
                <c:pt idx="1">
                  <c:v>1.0610329539459689</c:v>
                </c:pt>
                <c:pt idx="2">
                  <c:v>15915.510224699759</c:v>
                </c:pt>
                <c:pt idx="3" formatCode="General">
                  <c:v>1591551.022469976</c:v>
                </c:pt>
              </c:numCache>
            </c:numRef>
          </c:xVal>
          <c:yVal>
            <c:numRef>
              <c:f>compensation!$J$23:$J$26</c:f>
              <c:numCache>
                <c:formatCode>0</c:formatCode>
                <c:ptCount val="4"/>
                <c:pt idx="0">
                  <c:v>-69.897000433601875</c:v>
                </c:pt>
                <c:pt idx="1">
                  <c:v>-29.897000433601878</c:v>
                </c:pt>
                <c:pt idx="2">
                  <c:v>-29.897000433601878</c:v>
                </c:pt>
                <c:pt idx="3">
                  <c:v>10.102999566398122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C55-4E90-9059-832E1D7FE379}"/>
            </c:ext>
          </c:extLst>
        </c:ser>
        <c:ser>
          <c:idx val="6"/>
          <c:order val="5"/>
          <c:tx>
            <c:strRef>
              <c:f>compensation!$M$22</c:f>
              <c:strCache>
                <c:ptCount val="1"/>
                <c:pt idx="0">
                  <c:v>Conp #2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compensation!$L$24:$L$27</c:f>
              <c:numCache>
                <c:formatCode>0.00</c:formatCode>
                <c:ptCount val="4"/>
                <c:pt idx="0" formatCode="General">
                  <c:v>1.0610329539459691</c:v>
                </c:pt>
                <c:pt idx="1">
                  <c:v>106.1032953945969</c:v>
                </c:pt>
                <c:pt idx="2" formatCode="0">
                  <c:v>15915.510224699759</c:v>
                </c:pt>
                <c:pt idx="3" formatCode="General">
                  <c:v>1591551.022469976</c:v>
                </c:pt>
              </c:numCache>
            </c:numRef>
          </c:xVal>
          <c:yVal>
            <c:numRef>
              <c:f>compensation!$N$24:$N$27</c:f>
              <c:numCache>
                <c:formatCode>0</c:formatCode>
                <c:ptCount val="4"/>
                <c:pt idx="0">
                  <c:v>-49.897000433601882</c:v>
                </c:pt>
                <c:pt idx="1">
                  <c:v>-9.89700043360188</c:v>
                </c:pt>
                <c:pt idx="2">
                  <c:v>-9.89700043360188</c:v>
                </c:pt>
                <c:pt idx="3">
                  <c:v>30.102999566398118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C55-4E90-9059-832E1D7FE379}"/>
            </c:ext>
          </c:extLst>
        </c:ser>
        <c:ser>
          <c:idx val="7"/>
          <c:order val="6"/>
          <c:tx>
            <c:strRef>
              <c:f>compensation!$Q$22</c:f>
              <c:strCache>
                <c:ptCount val="1"/>
                <c:pt idx="0">
                  <c:v>Comp #3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compensation!$P$23:$P$28</c:f>
              <c:numCache>
                <c:formatCode>General</c:formatCode>
                <c:ptCount val="6"/>
                <c:pt idx="0">
                  <c:v>1.5915494309189538E-3</c:v>
                </c:pt>
                <c:pt idx="1">
                  <c:v>0.15915494309189537</c:v>
                </c:pt>
                <c:pt idx="2" formatCode="0.00">
                  <c:v>15.915494309189537</c:v>
                </c:pt>
                <c:pt idx="3" formatCode="0">
                  <c:v>15915.494309189537</c:v>
                </c:pt>
                <c:pt idx="4">
                  <c:v>1591549.4309189536</c:v>
                </c:pt>
                <c:pt idx="5">
                  <c:v>159154943.09189537</c:v>
                </c:pt>
              </c:numCache>
            </c:numRef>
          </c:xVal>
          <c:yVal>
            <c:numRef>
              <c:f>compensation!$R$23:$R$28</c:f>
              <c:numCache>
                <c:formatCode>0</c:formatCode>
                <c:ptCount val="6"/>
                <c:pt idx="0">
                  <c:v>-66.375175252488248</c:v>
                </c:pt>
                <c:pt idx="1">
                  <c:v>-26.375175252488255</c:v>
                </c:pt>
                <c:pt idx="2">
                  <c:v>13.624824747511745</c:v>
                </c:pt>
                <c:pt idx="3">
                  <c:v>13.624824747511745</c:v>
                </c:pt>
                <c:pt idx="4">
                  <c:v>53.624824747511745</c:v>
                </c:pt>
                <c:pt idx="5">
                  <c:v>93.624824747511752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C55-4E90-9059-832E1D7FE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104440"/>
        <c:axId val="359678912"/>
        <c:extLst/>
      </c:scatterChart>
      <c:valAx>
        <c:axId val="546104440"/>
        <c:scaling>
          <c:logBase val="10"/>
          <c:orientation val="minMax"/>
          <c:max val="100000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78912"/>
        <c:crosses val="autoZero"/>
        <c:crossBetween val="midCat"/>
      </c:valAx>
      <c:valAx>
        <c:axId val="35967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104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7041196508135863"/>
          <c:y val="0.85576851613558991"/>
          <c:w val="0.46654410270890517"/>
          <c:h val="6.58193970220418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Sheet3!$I$2</c:f>
              <c:strCache>
                <c:ptCount val="1"/>
                <c:pt idx="0">
                  <c:v>vout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Sheet3!$F$3:$F$13</c:f>
              <c:numCache>
                <c:formatCode>0.0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Sheet3!$I$3:$I$13</c:f>
              <c:numCache>
                <c:formatCode>0.0</c:formatCode>
                <c:ptCount val="11"/>
                <c:pt idx="0">
                  <c:v>547.95454545454538</c:v>
                </c:pt>
                <c:pt idx="1">
                  <c:v>446.98557994890967</c:v>
                </c:pt>
                <c:pt idx="2">
                  <c:v>377.61710698894512</c:v>
                </c:pt>
                <c:pt idx="3">
                  <c:v>327.02137282963838</c:v>
                </c:pt>
                <c:pt idx="4">
                  <c:v>288.48610978974403</c:v>
                </c:pt>
                <c:pt idx="5">
                  <c:v>258.15827223461906</c:v>
                </c:pt>
                <c:pt idx="6">
                  <c:v>233.66813275458074</c:v>
                </c:pt>
                <c:pt idx="7">
                  <c:v>213.47815232054944</c:v>
                </c:pt>
                <c:pt idx="8">
                  <c:v>196.54715887127944</c:v>
                </c:pt>
                <c:pt idx="9">
                  <c:v>182.145002160986</c:v>
                </c:pt>
                <c:pt idx="10">
                  <c:v>169.7444875884066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50-4EDA-B105-EAC6DC1C0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810304"/>
        <c:axId val="411808864"/>
      </c:scatterChart>
      <c:valAx>
        <c:axId val="411810304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808864"/>
        <c:crosses val="autoZero"/>
        <c:crossBetween val="midCat"/>
      </c:valAx>
      <c:valAx>
        <c:axId val="411808864"/>
        <c:scaling>
          <c:orientation val="minMax"/>
          <c:max val="5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81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chart" Target="../charts/chart4.xml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542925</xdr:colOff>
      <xdr:row>78</xdr:row>
      <xdr:rowOff>95250</xdr:rowOff>
    </xdr:from>
    <xdr:to>
      <xdr:col>38</xdr:col>
      <xdr:colOff>305707</xdr:colOff>
      <xdr:row>85</xdr:row>
      <xdr:rowOff>38278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1679CCA-76F5-4C0D-8767-CD9C08894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44425" y="15487650"/>
          <a:ext cx="6506482" cy="1276528"/>
        </a:xfrm>
        <a:prstGeom prst="rect">
          <a:avLst/>
        </a:prstGeom>
      </xdr:spPr>
    </xdr:pic>
    <xdr:clientData/>
  </xdr:twoCellAnchor>
  <xdr:twoCellAnchor editAs="oneCell">
    <xdr:from>
      <xdr:col>28</xdr:col>
      <xdr:colOff>66675</xdr:colOff>
      <xdr:row>60</xdr:row>
      <xdr:rowOff>47625</xdr:rowOff>
    </xdr:from>
    <xdr:to>
      <xdr:col>37</xdr:col>
      <xdr:colOff>19813</xdr:colOff>
      <xdr:row>65</xdr:row>
      <xdr:rowOff>162074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858A52F-58FE-440F-BB32-5038F72A3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3000" y="12011025"/>
          <a:ext cx="5468113" cy="1066949"/>
        </a:xfrm>
        <a:prstGeom prst="rect">
          <a:avLst/>
        </a:prstGeom>
      </xdr:spPr>
    </xdr:pic>
    <xdr:clientData/>
  </xdr:twoCellAnchor>
  <xdr:twoCellAnchor editAs="oneCell">
    <xdr:from>
      <xdr:col>27</xdr:col>
      <xdr:colOff>409575</xdr:colOff>
      <xdr:row>69</xdr:row>
      <xdr:rowOff>47625</xdr:rowOff>
    </xdr:from>
    <xdr:to>
      <xdr:col>41</xdr:col>
      <xdr:colOff>429823</xdr:colOff>
      <xdr:row>76</xdr:row>
      <xdr:rowOff>171653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5EAD577-8585-48BB-AABE-7EFFF9C99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11075" y="13725525"/>
          <a:ext cx="8592748" cy="1457528"/>
        </a:xfrm>
        <a:prstGeom prst="rect">
          <a:avLst/>
        </a:prstGeom>
      </xdr:spPr>
    </xdr:pic>
    <xdr:clientData/>
  </xdr:twoCellAnchor>
  <xdr:twoCellAnchor editAs="oneCell">
    <xdr:from>
      <xdr:col>27</xdr:col>
      <xdr:colOff>428625</xdr:colOff>
      <xdr:row>89</xdr:row>
      <xdr:rowOff>28575</xdr:rowOff>
    </xdr:from>
    <xdr:to>
      <xdr:col>37</xdr:col>
      <xdr:colOff>581901</xdr:colOff>
      <xdr:row>95</xdr:row>
      <xdr:rowOff>123998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0AE1DFB-48BA-40D1-9670-1CB4AE2EF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30125" y="17516475"/>
          <a:ext cx="6287376" cy="1238423"/>
        </a:xfrm>
        <a:prstGeom prst="rect">
          <a:avLst/>
        </a:prstGeom>
      </xdr:spPr>
    </xdr:pic>
    <xdr:clientData/>
  </xdr:twoCellAnchor>
  <xdr:twoCellAnchor editAs="oneCell">
    <xdr:from>
      <xdr:col>27</xdr:col>
      <xdr:colOff>581025</xdr:colOff>
      <xdr:row>48</xdr:row>
      <xdr:rowOff>133350</xdr:rowOff>
    </xdr:from>
    <xdr:to>
      <xdr:col>41</xdr:col>
      <xdr:colOff>10640</xdr:colOff>
      <xdr:row>58</xdr:row>
      <xdr:rowOff>152400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BDD2D83-8BB7-4693-BCCA-218BDFB90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77750" y="9810750"/>
          <a:ext cx="7992590" cy="1924050"/>
        </a:xfrm>
        <a:prstGeom prst="rect">
          <a:avLst/>
        </a:prstGeom>
      </xdr:spPr>
    </xdr:pic>
    <xdr:clientData/>
  </xdr:twoCellAnchor>
  <xdr:twoCellAnchor editAs="oneCell">
    <xdr:from>
      <xdr:col>27</xdr:col>
      <xdr:colOff>476250</xdr:colOff>
      <xdr:row>99</xdr:row>
      <xdr:rowOff>19050</xdr:rowOff>
    </xdr:from>
    <xdr:to>
      <xdr:col>33</xdr:col>
      <xdr:colOff>562501</xdr:colOff>
      <xdr:row>108</xdr:row>
      <xdr:rowOff>181237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3E48045-918E-447D-9664-1949D13B7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77750" y="19411950"/>
          <a:ext cx="3781951" cy="1876687"/>
        </a:xfrm>
        <a:prstGeom prst="rect">
          <a:avLst/>
        </a:prstGeom>
      </xdr:spPr>
    </xdr:pic>
    <xdr:clientData/>
  </xdr:twoCellAnchor>
  <xdr:twoCellAnchor>
    <xdr:from>
      <xdr:col>28</xdr:col>
      <xdr:colOff>0</xdr:colOff>
      <xdr:row>3</xdr:row>
      <xdr:rowOff>0</xdr:rowOff>
    </xdr:from>
    <xdr:to>
      <xdr:col>36</xdr:col>
      <xdr:colOff>600075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51F07E-E0E1-4878-8A81-F854BF3C6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0</xdr:colOff>
      <xdr:row>18</xdr:row>
      <xdr:rowOff>0</xdr:rowOff>
    </xdr:from>
    <xdr:to>
      <xdr:col>36</xdr:col>
      <xdr:colOff>600075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868CE7-15EF-4C67-BF6B-1033458D5C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0</xdr:colOff>
      <xdr:row>33</xdr:row>
      <xdr:rowOff>0</xdr:rowOff>
    </xdr:from>
    <xdr:to>
      <xdr:col>36</xdr:col>
      <xdr:colOff>561975</xdr:colOff>
      <xdr:row>47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907DAC-7AEE-4E70-9D1E-684E290119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62</xdr:row>
      <xdr:rowOff>28575</xdr:rowOff>
    </xdr:from>
    <xdr:to>
      <xdr:col>14</xdr:col>
      <xdr:colOff>172531</xdr:colOff>
      <xdr:row>86</xdr:row>
      <xdr:rowOff>76845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32D655-E132-AF1A-1F69-3E6EB7B64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11839575"/>
          <a:ext cx="7744906" cy="4620270"/>
        </a:xfrm>
        <a:prstGeom prst="rect">
          <a:avLst/>
        </a:prstGeom>
      </xdr:spPr>
    </xdr:pic>
    <xdr:clientData/>
  </xdr:twoCellAnchor>
  <xdr:twoCellAnchor>
    <xdr:from>
      <xdr:col>7</xdr:col>
      <xdr:colOff>214311</xdr:colOff>
      <xdr:row>4</xdr:row>
      <xdr:rowOff>90486</xdr:rowOff>
    </xdr:from>
    <xdr:to>
      <xdr:col>21</xdr:col>
      <xdr:colOff>219075</xdr:colOff>
      <xdr:row>31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4D8698-9D45-9602-044F-6CAC73C85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266700</xdr:colOff>
      <xdr:row>62</xdr:row>
      <xdr:rowOff>38100</xdr:rowOff>
    </xdr:from>
    <xdr:to>
      <xdr:col>29</xdr:col>
      <xdr:colOff>506375</xdr:colOff>
      <xdr:row>84</xdr:row>
      <xdr:rowOff>178635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71155CB-F63C-4DA9-9E30-31DB8E465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20075" y="11849100"/>
          <a:ext cx="8783600" cy="43315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18</xdr:col>
      <xdr:colOff>333376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B81DA8-5DC3-4320-9F9D-743034A013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9C762-8912-4F39-9ACC-2764DD889BB5}">
  <dimension ref="B3:AF179"/>
  <sheetViews>
    <sheetView tabSelected="1" zoomScale="85" zoomScaleNormal="85" workbookViewId="0">
      <pane xSplit="4" ySplit="3" topLeftCell="M4" activePane="bottomRight" state="frozen"/>
      <selection pane="topRight" activeCell="E1" sqref="E1"/>
      <selection pane="bottomLeft" activeCell="A4" sqref="A4"/>
      <selection pane="bottomRight" activeCell="AW144" sqref="V77:AW144"/>
    </sheetView>
  </sheetViews>
  <sheetFormatPr defaultRowHeight="15" x14ac:dyDescent="0.25"/>
  <cols>
    <col min="1" max="1" width="3.42578125" style="1" customWidth="1"/>
    <col min="2" max="2" width="8.85546875" style="2" bestFit="1" customWidth="1"/>
    <col min="3" max="3" width="9.5703125" style="1" bestFit="1" customWidth="1"/>
    <col min="4" max="4" width="4.42578125" style="1" customWidth="1"/>
    <col min="5" max="5" width="6.140625" style="8" customWidth="1"/>
    <col min="6" max="6" width="5.7109375" style="1" customWidth="1"/>
    <col min="7" max="7" width="8" style="1" customWidth="1"/>
    <col min="8" max="8" width="7.140625" style="1" customWidth="1"/>
    <col min="9" max="9" width="6.5703125" style="1" customWidth="1"/>
    <col min="10" max="10" width="8" style="1" customWidth="1"/>
    <col min="11" max="11" width="7" customWidth="1"/>
    <col min="12" max="12" width="9.5703125" style="9" bestFit="1" customWidth="1"/>
    <col min="13" max="13" width="7.140625" style="1" customWidth="1"/>
    <col min="14" max="14" width="7" style="1" customWidth="1"/>
    <col min="15" max="15" width="6.42578125" style="10" customWidth="1"/>
    <col min="16" max="18" width="8.7109375" style="1" customWidth="1"/>
    <col min="19" max="19" width="8.7109375" customWidth="1"/>
    <col min="20" max="20" width="8.28515625" style="9" customWidth="1"/>
    <col min="21" max="21" width="6.140625" customWidth="1"/>
    <col min="22" max="22" width="8.7109375" customWidth="1"/>
    <col min="24" max="25" width="1.5703125" customWidth="1"/>
    <col min="26" max="26" width="1.5703125" style="29" customWidth="1"/>
    <col min="27" max="27" width="1.5703125" customWidth="1"/>
    <col min="29" max="29" width="9.140625" style="1"/>
    <col min="30" max="30" width="9.5703125" style="1" bestFit="1" customWidth="1"/>
    <col min="31" max="16384" width="9.140625" style="1"/>
  </cols>
  <sheetData>
    <row r="3" spans="2:32" s="24" customFormat="1" ht="57" customHeight="1" x14ac:dyDescent="0.25">
      <c r="B3" s="32" t="s">
        <v>24</v>
      </c>
      <c r="C3" s="33"/>
      <c r="D3" s="22"/>
      <c r="E3" s="22" t="s">
        <v>10</v>
      </c>
      <c r="F3" s="22" t="s">
        <v>27</v>
      </c>
      <c r="G3" s="22" t="s">
        <v>25</v>
      </c>
      <c r="H3" s="22" t="s">
        <v>26</v>
      </c>
      <c r="I3" s="22" t="s">
        <v>28</v>
      </c>
      <c r="J3" s="22" t="s">
        <v>29</v>
      </c>
      <c r="K3" s="22" t="s">
        <v>30</v>
      </c>
      <c r="L3" s="25" t="s">
        <v>14</v>
      </c>
      <c r="M3" s="22" t="s">
        <v>7</v>
      </c>
      <c r="N3" s="22" t="s">
        <v>32</v>
      </c>
      <c r="O3" s="23" t="s">
        <v>11</v>
      </c>
      <c r="P3" s="22" t="s">
        <v>12</v>
      </c>
      <c r="Q3" s="22" t="s">
        <v>17</v>
      </c>
      <c r="R3" s="22" t="s">
        <v>16</v>
      </c>
      <c r="S3" s="22" t="s">
        <v>19</v>
      </c>
      <c r="T3" s="25" t="s">
        <v>33</v>
      </c>
      <c r="U3" s="22" t="s">
        <v>18</v>
      </c>
      <c r="V3" s="22" t="s">
        <v>34</v>
      </c>
      <c r="W3" s="22" t="s">
        <v>35</v>
      </c>
      <c r="X3" s="22"/>
      <c r="Y3" s="22"/>
      <c r="Z3" s="31"/>
      <c r="AA3" s="22"/>
      <c r="AB3" s="22"/>
      <c r="AC3" s="22"/>
      <c r="AD3" s="22"/>
      <c r="AE3" s="22"/>
      <c r="AF3" s="22"/>
    </row>
    <row r="4" spans="2:32" x14ac:dyDescent="0.25">
      <c r="B4" s="3" t="s">
        <v>23</v>
      </c>
      <c r="C4" s="13">
        <f>3.54*0.000001</f>
        <v>3.54E-6</v>
      </c>
      <c r="D4" s="11"/>
      <c r="E4" s="8">
        <v>2</v>
      </c>
      <c r="F4" s="11">
        <v>10</v>
      </c>
      <c r="G4" s="11">
        <v>5</v>
      </c>
      <c r="H4" s="11">
        <v>5</v>
      </c>
      <c r="I4" s="11">
        <v>100</v>
      </c>
      <c r="J4" s="11">
        <f t="shared" ref="J4:J35" si="0">I4^2/H4</f>
        <v>2000</v>
      </c>
      <c r="K4" s="10">
        <f t="shared" ref="K4:K35" si="1">H4/eff</f>
        <v>6.666666666666667</v>
      </c>
      <c r="L4" s="9">
        <f t="shared" ref="L4:L35" si="2">F4^2*Dmax^2/(2*fs*H4)</f>
        <v>4.0500000000000002E-5</v>
      </c>
      <c r="M4" s="1">
        <f t="shared" ref="M4:M35" si="3">SQRT(2*fs*Lp*H4)/F4</f>
        <v>0.13304134695650072</v>
      </c>
      <c r="N4" s="1">
        <f t="shared" ref="N4:N35" si="4">F4*M4/(I4*(1-M4))</f>
        <v>1.5345754551206427E-2</v>
      </c>
      <c r="O4" s="10">
        <f t="shared" ref="O4:O35" si="5">SQRT(2*H4/(fs*Lp))</f>
        <v>7.5164602800282889</v>
      </c>
      <c r="P4" s="1">
        <f t="shared" ref="P4:P35" si="6">H4/(F4*eff)</f>
        <v>0.66666666666666663</v>
      </c>
      <c r="Q4" s="1">
        <f t="shared" ref="Q4:Q35" si="7">O4*SQRT(M4/3)</f>
        <v>1.5828729449988808</v>
      </c>
      <c r="R4" s="1">
        <f t="shared" ref="R4:R35" si="8">H4/I4</f>
        <v>0.05</v>
      </c>
      <c r="S4" s="1">
        <f t="shared" ref="S4:S35" si="9">SQRT(2*R4*n*O4/3)</f>
        <v>0.11228435448930135</v>
      </c>
      <c r="T4" s="9">
        <f t="shared" ref="T4:T35" si="10">0.5*Lp*O4^2</f>
        <v>1E-4</v>
      </c>
      <c r="U4" s="1">
        <f t="shared" ref="U4:U35" si="11">F4*M4/(n*I4)</f>
        <v>0.26438709442320507</v>
      </c>
      <c r="V4" s="9">
        <f t="shared" ref="V4:V35" si="12">(n*O4-R4)*U4/(fs*n*O4)</f>
        <v>4.5887365314886544E-6</v>
      </c>
      <c r="W4" s="9">
        <f t="shared" ref="W4:W35" si="13">(n*O4-R4)*V4/(2*Cout)</f>
        <v>7.5308803950118144E-2</v>
      </c>
      <c r="X4" s="9"/>
      <c r="Y4" s="9"/>
      <c r="Z4" s="9"/>
      <c r="AA4" s="1"/>
      <c r="AB4" s="1"/>
    </row>
    <row r="5" spans="2:32" x14ac:dyDescent="0.25">
      <c r="B5" s="4" t="s">
        <v>22</v>
      </c>
      <c r="C5" s="14">
        <f>1453*0.000001</f>
        <v>1.4529999999999999E-3</v>
      </c>
      <c r="D5" s="11"/>
      <c r="E5" s="8">
        <v>3</v>
      </c>
      <c r="F5" s="11">
        <v>12</v>
      </c>
      <c r="G5" s="11">
        <v>5</v>
      </c>
      <c r="H5" s="11">
        <v>5</v>
      </c>
      <c r="I5" s="11">
        <v>100</v>
      </c>
      <c r="J5" s="11">
        <f t="shared" si="0"/>
        <v>2000</v>
      </c>
      <c r="K5" s="10">
        <f t="shared" si="1"/>
        <v>6.666666666666667</v>
      </c>
      <c r="L5" s="9">
        <f t="shared" si="2"/>
        <v>5.8320000000000004E-5</v>
      </c>
      <c r="M5" s="1">
        <f t="shared" si="3"/>
        <v>0.11086778913041727</v>
      </c>
      <c r="N5" s="1">
        <f t="shared" si="4"/>
        <v>1.4963055587243271E-2</v>
      </c>
      <c r="O5" s="10">
        <f t="shared" si="5"/>
        <v>7.5164602800282889</v>
      </c>
      <c r="P5" s="1">
        <f t="shared" si="6"/>
        <v>0.55555555555555558</v>
      </c>
      <c r="Q5" s="1">
        <f t="shared" si="7"/>
        <v>1.4449586960675354</v>
      </c>
      <c r="R5" s="1">
        <f t="shared" si="8"/>
        <v>0.05</v>
      </c>
      <c r="S5" s="1">
        <f t="shared" si="9"/>
        <v>0.11228435448930135</v>
      </c>
      <c r="T5" s="9">
        <f t="shared" si="10"/>
        <v>1E-4</v>
      </c>
      <c r="U5" s="1">
        <f t="shared" si="11"/>
        <v>0.26438709442320507</v>
      </c>
      <c r="V5" s="9">
        <f t="shared" si="12"/>
        <v>4.5887365314886544E-6</v>
      </c>
      <c r="W5" s="9">
        <f t="shared" si="13"/>
        <v>7.5308803950118144E-2</v>
      </c>
      <c r="X5" s="9"/>
      <c r="Y5" s="9"/>
      <c r="Z5" s="9"/>
      <c r="AA5" s="1"/>
      <c r="AB5" s="1"/>
    </row>
    <row r="6" spans="2:32" x14ac:dyDescent="0.25">
      <c r="B6" s="4" t="s">
        <v>0</v>
      </c>
      <c r="C6" s="15">
        <f>SQRT(C4/C5)</f>
        <v>4.9359280887923032E-2</v>
      </c>
      <c r="D6" s="11"/>
      <c r="E6" s="8">
        <v>5</v>
      </c>
      <c r="F6" s="11">
        <v>18</v>
      </c>
      <c r="G6" s="11">
        <v>5</v>
      </c>
      <c r="H6" s="11">
        <v>5</v>
      </c>
      <c r="I6" s="11">
        <v>100</v>
      </c>
      <c r="J6" s="11">
        <f t="shared" si="0"/>
        <v>2000</v>
      </c>
      <c r="K6" s="10">
        <f t="shared" si="1"/>
        <v>6.666666666666667</v>
      </c>
      <c r="L6" s="9">
        <f t="shared" si="2"/>
        <v>1.3122000000000001E-4</v>
      </c>
      <c r="M6" s="1">
        <f t="shared" si="3"/>
        <v>7.391185942027817E-2</v>
      </c>
      <c r="N6" s="1">
        <f t="shared" si="4"/>
        <v>1.4365948674520132E-2</v>
      </c>
      <c r="O6" s="10">
        <f t="shared" si="5"/>
        <v>7.5164602800282889</v>
      </c>
      <c r="P6" s="1">
        <f t="shared" si="6"/>
        <v>0.37037037037037035</v>
      </c>
      <c r="Q6" s="1">
        <f t="shared" si="7"/>
        <v>1.1798038349209277</v>
      </c>
      <c r="R6" s="1">
        <f t="shared" si="8"/>
        <v>0.05</v>
      </c>
      <c r="S6" s="1">
        <f t="shared" si="9"/>
        <v>0.11228435448930135</v>
      </c>
      <c r="T6" s="9">
        <f t="shared" si="10"/>
        <v>1E-4</v>
      </c>
      <c r="U6" s="1">
        <f t="shared" si="11"/>
        <v>0.26438709442320502</v>
      </c>
      <c r="V6" s="9">
        <f t="shared" si="12"/>
        <v>4.5887365314886527E-6</v>
      </c>
      <c r="W6" s="9">
        <f t="shared" si="13"/>
        <v>7.5308803950118117E-2</v>
      </c>
      <c r="X6" s="9"/>
      <c r="Y6" s="9"/>
      <c r="Z6" s="9"/>
      <c r="AA6" s="1"/>
      <c r="AB6" s="1"/>
    </row>
    <row r="7" spans="2:32" x14ac:dyDescent="0.25">
      <c r="B7" s="4" t="s">
        <v>4</v>
      </c>
      <c r="C7" s="5">
        <f>1/C6</f>
        <v>20.259614443545807</v>
      </c>
      <c r="D7" s="11"/>
      <c r="E7" s="8">
        <v>6</v>
      </c>
      <c r="F7" s="11">
        <v>20</v>
      </c>
      <c r="G7" s="11">
        <v>5</v>
      </c>
      <c r="H7" s="11">
        <v>5</v>
      </c>
      <c r="I7" s="11">
        <v>100</v>
      </c>
      <c r="J7" s="11">
        <f t="shared" si="0"/>
        <v>2000</v>
      </c>
      <c r="K7" s="10">
        <f t="shared" si="1"/>
        <v>6.666666666666667</v>
      </c>
      <c r="L7" s="9">
        <f t="shared" si="2"/>
        <v>1.6200000000000001E-4</v>
      </c>
      <c r="M7" s="1">
        <f t="shared" si="3"/>
        <v>6.6520673478250358E-2</v>
      </c>
      <c r="N7" s="1">
        <f t="shared" si="4"/>
        <v>1.4252200683675336E-2</v>
      </c>
      <c r="O7" s="10">
        <f t="shared" si="5"/>
        <v>7.5164602800282889</v>
      </c>
      <c r="P7" s="1">
        <f t="shared" si="6"/>
        <v>0.33333333333333331</v>
      </c>
      <c r="Q7" s="1">
        <f t="shared" si="7"/>
        <v>1.1192601931654298</v>
      </c>
      <c r="R7" s="1">
        <f t="shared" si="8"/>
        <v>0.05</v>
      </c>
      <c r="S7" s="1">
        <f t="shared" si="9"/>
        <v>0.11228435448930135</v>
      </c>
      <c r="T7" s="9">
        <f t="shared" si="10"/>
        <v>1E-4</v>
      </c>
      <c r="U7" s="1">
        <f t="shared" si="11"/>
        <v>0.26438709442320507</v>
      </c>
      <c r="V7" s="9">
        <f t="shared" si="12"/>
        <v>4.5887365314886544E-6</v>
      </c>
      <c r="W7" s="9">
        <f t="shared" si="13"/>
        <v>7.5308803950118144E-2</v>
      </c>
      <c r="X7" s="9"/>
      <c r="Y7" s="9"/>
      <c r="Z7" s="9"/>
      <c r="AA7" s="1"/>
      <c r="AB7" s="1"/>
      <c r="AD7" s="2"/>
    </row>
    <row r="8" spans="2:32" x14ac:dyDescent="0.25">
      <c r="B8" s="4" t="s">
        <v>1</v>
      </c>
      <c r="C8" s="15">
        <f>1/19.5</f>
        <v>5.128205128205128E-2</v>
      </c>
      <c r="D8" s="11"/>
      <c r="E8" s="8">
        <v>4</v>
      </c>
      <c r="F8" s="11">
        <v>15</v>
      </c>
      <c r="G8" s="11">
        <v>5</v>
      </c>
      <c r="H8" s="11">
        <v>5</v>
      </c>
      <c r="I8" s="11">
        <v>100</v>
      </c>
      <c r="J8" s="11">
        <f t="shared" si="0"/>
        <v>2000</v>
      </c>
      <c r="K8" s="10">
        <f t="shared" si="1"/>
        <v>6.666666666666667</v>
      </c>
      <c r="L8" s="9">
        <f t="shared" si="2"/>
        <v>9.1125000000000006E-5</v>
      </c>
      <c r="M8" s="1">
        <f t="shared" si="3"/>
        <v>8.8694231304333807E-2</v>
      </c>
      <c r="N8" s="1">
        <f t="shared" si="4"/>
        <v>1.4598980005022921E-2</v>
      </c>
      <c r="O8" s="10">
        <f t="shared" si="5"/>
        <v>7.5164602800282889</v>
      </c>
      <c r="P8" s="1">
        <f t="shared" si="6"/>
        <v>0.44444444444444442</v>
      </c>
      <c r="Q8" s="1">
        <f t="shared" si="7"/>
        <v>1.2924103476345867</v>
      </c>
      <c r="R8" s="1">
        <f t="shared" si="8"/>
        <v>0.05</v>
      </c>
      <c r="S8" s="1">
        <f t="shared" si="9"/>
        <v>0.11228435448930135</v>
      </c>
      <c r="T8" s="9">
        <f t="shared" si="10"/>
        <v>1E-4</v>
      </c>
      <c r="U8" s="1">
        <f t="shared" si="11"/>
        <v>0.26438709442320507</v>
      </c>
      <c r="V8" s="9">
        <f t="shared" si="12"/>
        <v>4.5887365314886544E-6</v>
      </c>
      <c r="W8" s="9">
        <f t="shared" si="13"/>
        <v>7.5308803950118144E-2</v>
      </c>
      <c r="X8" s="9"/>
      <c r="Y8" s="9"/>
      <c r="Z8" s="9"/>
      <c r="AA8" s="1"/>
      <c r="AB8" s="1"/>
      <c r="AD8" s="2"/>
      <c r="AF8" s="9"/>
    </row>
    <row r="9" spans="2:32" x14ac:dyDescent="0.25">
      <c r="B9" s="4" t="s">
        <v>5</v>
      </c>
      <c r="C9" s="5">
        <f>1/C8</f>
        <v>19.5</v>
      </c>
      <c r="D9" s="11"/>
      <c r="E9" s="8">
        <v>7</v>
      </c>
      <c r="F9" s="11">
        <v>24</v>
      </c>
      <c r="G9" s="11">
        <v>5</v>
      </c>
      <c r="H9" s="11">
        <v>5</v>
      </c>
      <c r="I9" s="11">
        <v>100</v>
      </c>
      <c r="J9" s="11">
        <f t="shared" si="0"/>
        <v>2000</v>
      </c>
      <c r="K9" s="10">
        <f t="shared" si="1"/>
        <v>6.666666666666667</v>
      </c>
      <c r="L9" s="9">
        <f t="shared" si="2"/>
        <v>2.3328000000000002E-4</v>
      </c>
      <c r="M9" s="1">
        <f t="shared" si="3"/>
        <v>5.5433894565208634E-2</v>
      </c>
      <c r="N9" s="1">
        <f t="shared" si="4"/>
        <v>1.408491647022002E-2</v>
      </c>
      <c r="O9" s="10">
        <f t="shared" si="5"/>
        <v>7.5164602800282889</v>
      </c>
      <c r="P9" s="1">
        <f t="shared" si="6"/>
        <v>0.27777777777777779</v>
      </c>
      <c r="Q9" s="1">
        <f t="shared" si="7"/>
        <v>1.0217400925238258</v>
      </c>
      <c r="R9" s="1">
        <f t="shared" si="8"/>
        <v>0.05</v>
      </c>
      <c r="S9" s="1">
        <f t="shared" si="9"/>
        <v>0.11228435448930135</v>
      </c>
      <c r="T9" s="9">
        <f t="shared" si="10"/>
        <v>1E-4</v>
      </c>
      <c r="U9" s="1">
        <f t="shared" si="11"/>
        <v>0.26438709442320507</v>
      </c>
      <c r="V9" s="9">
        <f t="shared" si="12"/>
        <v>4.5887365314886544E-6</v>
      </c>
      <c r="W9" s="9">
        <f t="shared" si="13"/>
        <v>7.5308803950118144E-2</v>
      </c>
      <c r="X9" s="9"/>
      <c r="Y9" s="9"/>
      <c r="Z9" s="9"/>
      <c r="AA9" s="1"/>
      <c r="AB9" s="1"/>
    </row>
    <row r="10" spans="2:32" x14ac:dyDescent="0.25">
      <c r="B10" s="4" t="s">
        <v>2</v>
      </c>
      <c r="C10" s="15">
        <f>AVERAGE(C6,C8)</f>
        <v>5.0320666084987156E-2</v>
      </c>
      <c r="D10" s="11"/>
      <c r="E10" s="8">
        <v>37</v>
      </c>
      <c r="F10" s="11">
        <v>10</v>
      </c>
      <c r="G10" s="11">
        <v>5</v>
      </c>
      <c r="H10" s="11">
        <v>5</v>
      </c>
      <c r="I10" s="11">
        <v>170</v>
      </c>
      <c r="J10" s="11">
        <f t="shared" si="0"/>
        <v>5780</v>
      </c>
      <c r="K10" s="10">
        <f t="shared" si="1"/>
        <v>6.666666666666667</v>
      </c>
      <c r="L10" s="9">
        <f t="shared" si="2"/>
        <v>4.0500000000000002E-5</v>
      </c>
      <c r="M10" s="1">
        <f t="shared" si="3"/>
        <v>0.13304134695650072</v>
      </c>
      <c r="N10" s="1">
        <f t="shared" si="4"/>
        <v>9.0269144418861323E-3</v>
      </c>
      <c r="O10" s="10">
        <f t="shared" si="5"/>
        <v>7.5164602800282889</v>
      </c>
      <c r="P10" s="1">
        <f t="shared" si="6"/>
        <v>0.66666666666666663</v>
      </c>
      <c r="Q10" s="1">
        <f t="shared" si="7"/>
        <v>1.5828729449988808</v>
      </c>
      <c r="R10" s="1">
        <f t="shared" si="8"/>
        <v>2.9411764705882353E-2</v>
      </c>
      <c r="S10" s="1">
        <f t="shared" si="9"/>
        <v>8.6118168688621183E-2</v>
      </c>
      <c r="T10" s="9">
        <f t="shared" si="10"/>
        <v>1E-4</v>
      </c>
      <c r="U10" s="1">
        <f t="shared" si="11"/>
        <v>0.15552182024894418</v>
      </c>
      <c r="V10" s="9">
        <f t="shared" si="12"/>
        <v>2.8685660392434344E-6</v>
      </c>
      <c r="W10" s="9">
        <f t="shared" si="13"/>
        <v>5.0030878758496607E-2</v>
      </c>
      <c r="X10" s="9"/>
      <c r="Y10" s="9"/>
      <c r="Z10" s="9"/>
      <c r="AA10" s="1"/>
      <c r="AB10" s="1"/>
    </row>
    <row r="11" spans="2:32" x14ac:dyDescent="0.25">
      <c r="B11" s="6" t="s">
        <v>6</v>
      </c>
      <c r="C11" s="7">
        <f>1/C10</f>
        <v>19.872550937841094</v>
      </c>
      <c r="D11" s="11"/>
      <c r="E11" s="8">
        <v>38</v>
      </c>
      <c r="F11" s="11">
        <v>12</v>
      </c>
      <c r="G11" s="11">
        <v>5</v>
      </c>
      <c r="H11" s="11">
        <v>5</v>
      </c>
      <c r="I11" s="11">
        <v>170</v>
      </c>
      <c r="J11" s="11">
        <f t="shared" si="0"/>
        <v>5780</v>
      </c>
      <c r="K11" s="10">
        <f t="shared" si="1"/>
        <v>6.666666666666667</v>
      </c>
      <c r="L11" s="9">
        <f t="shared" si="2"/>
        <v>5.8320000000000004E-5</v>
      </c>
      <c r="M11" s="1">
        <f t="shared" si="3"/>
        <v>0.11086778913041727</v>
      </c>
      <c r="N11" s="1">
        <f t="shared" si="4"/>
        <v>8.8017974042607465E-3</v>
      </c>
      <c r="O11" s="10">
        <f t="shared" si="5"/>
        <v>7.5164602800282889</v>
      </c>
      <c r="P11" s="1">
        <f t="shared" si="6"/>
        <v>0.55555555555555558</v>
      </c>
      <c r="Q11" s="1">
        <f t="shared" si="7"/>
        <v>1.4449586960675354</v>
      </c>
      <c r="R11" s="1">
        <f t="shared" si="8"/>
        <v>2.9411764705882353E-2</v>
      </c>
      <c r="S11" s="1">
        <f t="shared" si="9"/>
        <v>8.6118168688621183E-2</v>
      </c>
      <c r="T11" s="9">
        <f t="shared" si="10"/>
        <v>1E-4</v>
      </c>
      <c r="U11" s="1">
        <f t="shared" si="11"/>
        <v>0.15552182024894418</v>
      </c>
      <c r="V11" s="9">
        <f t="shared" si="12"/>
        <v>2.8685660392434344E-6</v>
      </c>
      <c r="W11" s="9">
        <f t="shared" si="13"/>
        <v>5.0030878758496607E-2</v>
      </c>
      <c r="X11" s="9"/>
      <c r="Y11" s="9"/>
      <c r="Z11" s="9"/>
      <c r="AA11" s="1"/>
      <c r="AB11" s="1"/>
    </row>
    <row r="12" spans="2:32" x14ac:dyDescent="0.25">
      <c r="B12" s="1"/>
      <c r="D12" s="11"/>
      <c r="E12" s="8">
        <v>39</v>
      </c>
      <c r="F12" s="11">
        <v>15</v>
      </c>
      <c r="G12" s="11">
        <v>5</v>
      </c>
      <c r="H12" s="11">
        <v>5</v>
      </c>
      <c r="I12" s="11">
        <v>170</v>
      </c>
      <c r="J12" s="11">
        <f t="shared" si="0"/>
        <v>5780</v>
      </c>
      <c r="K12" s="10">
        <f t="shared" si="1"/>
        <v>6.666666666666667</v>
      </c>
      <c r="L12" s="9">
        <f t="shared" si="2"/>
        <v>9.1125000000000006E-5</v>
      </c>
      <c r="M12" s="1">
        <f t="shared" si="3"/>
        <v>8.8694231304333807E-2</v>
      </c>
      <c r="N12" s="1">
        <f t="shared" si="4"/>
        <v>8.5876352970723057E-3</v>
      </c>
      <c r="O12" s="10">
        <f t="shared" si="5"/>
        <v>7.5164602800282889</v>
      </c>
      <c r="P12" s="1">
        <f t="shared" si="6"/>
        <v>0.44444444444444442</v>
      </c>
      <c r="Q12" s="1">
        <f t="shared" si="7"/>
        <v>1.2924103476345867</v>
      </c>
      <c r="R12" s="1">
        <f t="shared" si="8"/>
        <v>2.9411764705882353E-2</v>
      </c>
      <c r="S12" s="1">
        <f t="shared" si="9"/>
        <v>8.6118168688621183E-2</v>
      </c>
      <c r="T12" s="9">
        <f t="shared" si="10"/>
        <v>1E-4</v>
      </c>
      <c r="U12" s="1">
        <f t="shared" si="11"/>
        <v>0.15552182024894418</v>
      </c>
      <c r="V12" s="9">
        <f t="shared" si="12"/>
        <v>2.8685660392434344E-6</v>
      </c>
      <c r="W12" s="9">
        <f t="shared" si="13"/>
        <v>5.0030878758496607E-2</v>
      </c>
      <c r="X12" s="9"/>
      <c r="Y12" s="9"/>
      <c r="Z12" s="9"/>
      <c r="AA12" s="1"/>
      <c r="AB12" s="1"/>
    </row>
    <row r="13" spans="2:32" x14ac:dyDescent="0.25">
      <c r="B13" s="1"/>
      <c r="D13" s="11"/>
      <c r="E13" s="8">
        <v>40</v>
      </c>
      <c r="F13" s="11">
        <v>18</v>
      </c>
      <c r="G13" s="11">
        <v>5</v>
      </c>
      <c r="H13" s="11">
        <v>5</v>
      </c>
      <c r="I13" s="11">
        <v>170</v>
      </c>
      <c r="J13" s="11">
        <f t="shared" si="0"/>
        <v>5780</v>
      </c>
      <c r="K13" s="10">
        <f t="shared" si="1"/>
        <v>6.666666666666667</v>
      </c>
      <c r="L13" s="9">
        <f t="shared" si="2"/>
        <v>1.3122000000000001E-4</v>
      </c>
      <c r="M13" s="1">
        <f t="shared" si="3"/>
        <v>7.391185942027817E-2</v>
      </c>
      <c r="N13" s="1">
        <f t="shared" si="4"/>
        <v>8.4505580438353715E-3</v>
      </c>
      <c r="O13" s="10">
        <f t="shared" si="5"/>
        <v>7.5164602800282889</v>
      </c>
      <c r="P13" s="1">
        <f t="shared" si="6"/>
        <v>0.37037037037037035</v>
      </c>
      <c r="Q13" s="1">
        <f t="shared" si="7"/>
        <v>1.1798038349209277</v>
      </c>
      <c r="R13" s="1">
        <f t="shared" si="8"/>
        <v>2.9411764705882353E-2</v>
      </c>
      <c r="S13" s="1">
        <f t="shared" si="9"/>
        <v>8.6118168688621183E-2</v>
      </c>
      <c r="T13" s="9">
        <f t="shared" si="10"/>
        <v>1E-4</v>
      </c>
      <c r="U13" s="1">
        <f t="shared" si="11"/>
        <v>0.15552182024894415</v>
      </c>
      <c r="V13" s="9">
        <f t="shared" si="12"/>
        <v>2.868566039243434E-6</v>
      </c>
      <c r="W13" s="9">
        <f t="shared" si="13"/>
        <v>5.00308787584966E-2</v>
      </c>
      <c r="X13" s="9"/>
      <c r="Y13" s="9"/>
      <c r="Z13" s="9"/>
      <c r="AA13" s="1"/>
      <c r="AB13" s="1"/>
    </row>
    <row r="14" spans="2:32" x14ac:dyDescent="0.25">
      <c r="B14" s="1"/>
      <c r="D14" s="11"/>
      <c r="E14" s="8">
        <v>41</v>
      </c>
      <c r="F14" s="11">
        <v>20</v>
      </c>
      <c r="G14" s="11">
        <v>5</v>
      </c>
      <c r="H14" s="11">
        <v>5</v>
      </c>
      <c r="I14" s="11">
        <v>170</v>
      </c>
      <c r="J14" s="11">
        <f t="shared" si="0"/>
        <v>5780</v>
      </c>
      <c r="K14" s="10">
        <f t="shared" si="1"/>
        <v>6.666666666666667</v>
      </c>
      <c r="L14" s="9">
        <f t="shared" si="2"/>
        <v>1.6200000000000001E-4</v>
      </c>
      <c r="M14" s="1">
        <f t="shared" si="3"/>
        <v>6.6520673478250358E-2</v>
      </c>
      <c r="N14" s="1">
        <f t="shared" si="4"/>
        <v>8.3836474609854904E-3</v>
      </c>
      <c r="O14" s="10">
        <f t="shared" si="5"/>
        <v>7.5164602800282889</v>
      </c>
      <c r="P14" s="1">
        <f t="shared" si="6"/>
        <v>0.33333333333333331</v>
      </c>
      <c r="Q14" s="1">
        <f t="shared" si="7"/>
        <v>1.1192601931654298</v>
      </c>
      <c r="R14" s="1">
        <f t="shared" si="8"/>
        <v>2.9411764705882353E-2</v>
      </c>
      <c r="S14" s="1">
        <f t="shared" si="9"/>
        <v>8.6118168688621183E-2</v>
      </c>
      <c r="T14" s="9">
        <f t="shared" si="10"/>
        <v>1E-4</v>
      </c>
      <c r="U14" s="1">
        <f t="shared" si="11"/>
        <v>0.15552182024894418</v>
      </c>
      <c r="V14" s="9">
        <f t="shared" si="12"/>
        <v>2.8685660392434344E-6</v>
      </c>
      <c r="W14" s="9">
        <f t="shared" si="13"/>
        <v>5.0030878758496607E-2</v>
      </c>
      <c r="X14" s="9"/>
      <c r="Y14" s="9"/>
      <c r="Z14" s="9"/>
      <c r="AA14" s="1"/>
      <c r="AB14" s="1"/>
    </row>
    <row r="15" spans="2:32" x14ac:dyDescent="0.25">
      <c r="B15" s="1"/>
      <c r="D15" s="11"/>
      <c r="E15" s="8">
        <v>42</v>
      </c>
      <c r="F15" s="11">
        <v>24</v>
      </c>
      <c r="G15" s="11">
        <v>5</v>
      </c>
      <c r="H15" s="11">
        <v>5</v>
      </c>
      <c r="I15" s="11">
        <v>170</v>
      </c>
      <c r="J15" s="11">
        <f t="shared" si="0"/>
        <v>5780</v>
      </c>
      <c r="K15" s="10">
        <f t="shared" si="1"/>
        <v>6.666666666666667</v>
      </c>
      <c r="L15" s="9">
        <f t="shared" si="2"/>
        <v>2.3328000000000002E-4</v>
      </c>
      <c r="M15" s="1">
        <f t="shared" si="3"/>
        <v>5.5433894565208634E-2</v>
      </c>
      <c r="N15" s="1">
        <f t="shared" si="4"/>
        <v>8.2852449824823635E-3</v>
      </c>
      <c r="O15" s="10">
        <f t="shared" si="5"/>
        <v>7.5164602800282889</v>
      </c>
      <c r="P15" s="1">
        <f t="shared" si="6"/>
        <v>0.27777777777777779</v>
      </c>
      <c r="Q15" s="1">
        <f t="shared" si="7"/>
        <v>1.0217400925238258</v>
      </c>
      <c r="R15" s="1">
        <f t="shared" si="8"/>
        <v>2.9411764705882353E-2</v>
      </c>
      <c r="S15" s="1">
        <f t="shared" si="9"/>
        <v>8.6118168688621183E-2</v>
      </c>
      <c r="T15" s="9">
        <f t="shared" si="10"/>
        <v>1E-4</v>
      </c>
      <c r="U15" s="1">
        <f t="shared" si="11"/>
        <v>0.15552182024894418</v>
      </c>
      <c r="V15" s="9">
        <f t="shared" si="12"/>
        <v>2.8685660392434344E-6</v>
      </c>
      <c r="W15" s="9">
        <f t="shared" si="13"/>
        <v>5.0030878758496607E-2</v>
      </c>
      <c r="X15" s="9"/>
      <c r="Y15" s="9"/>
      <c r="Z15" s="9"/>
      <c r="AA15" s="1"/>
      <c r="AB15" s="1"/>
    </row>
    <row r="16" spans="2:32" x14ac:dyDescent="0.25">
      <c r="B16" s="1"/>
      <c r="D16" s="11"/>
      <c r="E16" s="8">
        <v>74</v>
      </c>
      <c r="F16" s="11">
        <v>15</v>
      </c>
      <c r="G16" s="11">
        <v>5</v>
      </c>
      <c r="H16" s="11">
        <v>5</v>
      </c>
      <c r="I16" s="11">
        <v>250</v>
      </c>
      <c r="J16" s="11">
        <f t="shared" si="0"/>
        <v>12500</v>
      </c>
      <c r="K16" s="10">
        <f t="shared" si="1"/>
        <v>6.666666666666667</v>
      </c>
      <c r="L16" s="9">
        <f t="shared" si="2"/>
        <v>9.1125000000000006E-5</v>
      </c>
      <c r="M16" s="1">
        <f t="shared" si="3"/>
        <v>8.8694231304333807E-2</v>
      </c>
      <c r="N16" s="1">
        <f t="shared" si="4"/>
        <v>5.8395920020091674E-3</v>
      </c>
      <c r="O16" s="10">
        <f t="shared" si="5"/>
        <v>7.5164602800282889</v>
      </c>
      <c r="P16" s="1">
        <f t="shared" si="6"/>
        <v>0.44444444444444442</v>
      </c>
      <c r="Q16" s="1">
        <f t="shared" si="7"/>
        <v>1.2924103476345867</v>
      </c>
      <c r="R16" s="1">
        <f t="shared" si="8"/>
        <v>0.02</v>
      </c>
      <c r="S16" s="1">
        <f t="shared" si="9"/>
        <v>7.101486115758894E-2</v>
      </c>
      <c r="T16" s="9">
        <f t="shared" si="10"/>
        <v>1E-4</v>
      </c>
      <c r="U16" s="1">
        <f t="shared" si="11"/>
        <v>0.10575483776928202</v>
      </c>
      <c r="V16" s="9">
        <f t="shared" si="12"/>
        <v>2.0032558982695685E-6</v>
      </c>
      <c r="W16" s="9">
        <f t="shared" si="13"/>
        <v>3.5881647346344789E-2</v>
      </c>
      <c r="X16" s="9"/>
      <c r="Y16" s="9"/>
      <c r="Z16" s="9"/>
      <c r="AA16" s="1"/>
      <c r="AB16" s="1"/>
    </row>
    <row r="17" spans="2:32" x14ac:dyDescent="0.25">
      <c r="B17" s="37" t="s">
        <v>31</v>
      </c>
      <c r="C17" s="38"/>
      <c r="D17" s="11"/>
      <c r="E17" s="8">
        <v>72</v>
      </c>
      <c r="F17" s="11">
        <v>10</v>
      </c>
      <c r="G17" s="11">
        <v>5</v>
      </c>
      <c r="H17" s="11">
        <v>5</v>
      </c>
      <c r="I17" s="11">
        <v>250</v>
      </c>
      <c r="J17" s="11">
        <f t="shared" si="0"/>
        <v>12500</v>
      </c>
      <c r="K17" s="10">
        <f t="shared" si="1"/>
        <v>6.666666666666667</v>
      </c>
      <c r="L17" s="9">
        <f t="shared" si="2"/>
        <v>4.0500000000000002E-5</v>
      </c>
      <c r="M17" s="1">
        <f t="shared" si="3"/>
        <v>0.13304134695650072</v>
      </c>
      <c r="N17" s="1">
        <f t="shared" si="4"/>
        <v>6.1383018204825696E-3</v>
      </c>
      <c r="O17" s="10">
        <f t="shared" si="5"/>
        <v>7.5164602800282889</v>
      </c>
      <c r="P17" s="1">
        <f t="shared" si="6"/>
        <v>0.66666666666666663</v>
      </c>
      <c r="Q17" s="1">
        <f t="shared" si="7"/>
        <v>1.5828729449988808</v>
      </c>
      <c r="R17" s="1">
        <f t="shared" si="8"/>
        <v>0.02</v>
      </c>
      <c r="S17" s="1">
        <f t="shared" si="9"/>
        <v>7.101486115758894E-2</v>
      </c>
      <c r="T17" s="9">
        <f t="shared" si="10"/>
        <v>1E-4</v>
      </c>
      <c r="U17" s="1">
        <f t="shared" si="11"/>
        <v>0.10575483776928202</v>
      </c>
      <c r="V17" s="9">
        <f t="shared" si="12"/>
        <v>2.0032558982695685E-6</v>
      </c>
      <c r="W17" s="9">
        <f t="shared" si="13"/>
        <v>3.5881647346344789E-2</v>
      </c>
      <c r="X17" s="9"/>
      <c r="Y17" s="9"/>
      <c r="Z17" s="9"/>
      <c r="AA17" s="1"/>
      <c r="AB17" s="1"/>
    </row>
    <row r="18" spans="2:32" x14ac:dyDescent="0.25">
      <c r="B18" s="16" t="s">
        <v>13</v>
      </c>
      <c r="C18" s="17">
        <f>50*1000</f>
        <v>50000</v>
      </c>
      <c r="D18" s="11"/>
      <c r="E18" s="8">
        <v>73</v>
      </c>
      <c r="F18" s="11">
        <v>12</v>
      </c>
      <c r="G18" s="11">
        <v>5</v>
      </c>
      <c r="H18" s="11">
        <v>5</v>
      </c>
      <c r="I18" s="11">
        <v>250</v>
      </c>
      <c r="J18" s="11">
        <f t="shared" si="0"/>
        <v>12500</v>
      </c>
      <c r="K18" s="10">
        <f t="shared" si="1"/>
        <v>6.666666666666667</v>
      </c>
      <c r="L18" s="9">
        <f t="shared" si="2"/>
        <v>5.8320000000000004E-5</v>
      </c>
      <c r="M18" s="1">
        <f t="shared" si="3"/>
        <v>0.11086778913041727</v>
      </c>
      <c r="N18" s="1">
        <f t="shared" si="4"/>
        <v>5.9852222348973083E-3</v>
      </c>
      <c r="O18" s="10">
        <f t="shared" si="5"/>
        <v>7.5164602800282889</v>
      </c>
      <c r="P18" s="1">
        <f t="shared" si="6"/>
        <v>0.55555555555555558</v>
      </c>
      <c r="Q18" s="1">
        <f t="shared" si="7"/>
        <v>1.4449586960675354</v>
      </c>
      <c r="R18" s="1">
        <f t="shared" si="8"/>
        <v>0.02</v>
      </c>
      <c r="S18" s="1">
        <f t="shared" si="9"/>
        <v>7.101486115758894E-2</v>
      </c>
      <c r="T18" s="9">
        <f t="shared" si="10"/>
        <v>1E-4</v>
      </c>
      <c r="U18" s="1">
        <f t="shared" si="11"/>
        <v>0.10575483776928202</v>
      </c>
      <c r="V18" s="9">
        <f t="shared" si="12"/>
        <v>2.0032558982695685E-6</v>
      </c>
      <c r="W18" s="9">
        <f t="shared" si="13"/>
        <v>3.5881647346344789E-2</v>
      </c>
      <c r="X18" s="9"/>
      <c r="Y18" s="9"/>
      <c r="Z18" s="9"/>
      <c r="AA18" s="1"/>
      <c r="AB18" s="1"/>
      <c r="AF18" s="9"/>
    </row>
    <row r="19" spans="2:32" x14ac:dyDescent="0.25">
      <c r="B19" s="19" t="s">
        <v>20</v>
      </c>
      <c r="C19" s="5">
        <v>0.45</v>
      </c>
      <c r="D19" s="11"/>
      <c r="E19" s="8">
        <v>75</v>
      </c>
      <c r="F19" s="11">
        <v>18</v>
      </c>
      <c r="G19" s="11">
        <v>5</v>
      </c>
      <c r="H19" s="11">
        <v>5</v>
      </c>
      <c r="I19" s="11">
        <v>250</v>
      </c>
      <c r="J19" s="11">
        <f t="shared" si="0"/>
        <v>12500</v>
      </c>
      <c r="K19" s="10">
        <f t="shared" si="1"/>
        <v>6.666666666666667</v>
      </c>
      <c r="L19" s="9">
        <f t="shared" si="2"/>
        <v>1.3122000000000001E-4</v>
      </c>
      <c r="M19" s="1">
        <f t="shared" si="3"/>
        <v>7.391185942027817E-2</v>
      </c>
      <c r="N19" s="1">
        <f t="shared" si="4"/>
        <v>5.7463794698080529E-3</v>
      </c>
      <c r="O19" s="10">
        <f t="shared" si="5"/>
        <v>7.5164602800282889</v>
      </c>
      <c r="P19" s="1">
        <f t="shared" si="6"/>
        <v>0.37037037037037035</v>
      </c>
      <c r="Q19" s="1">
        <f t="shared" si="7"/>
        <v>1.1798038349209277</v>
      </c>
      <c r="R19" s="1">
        <f t="shared" si="8"/>
        <v>0.02</v>
      </c>
      <c r="S19" s="1">
        <f t="shared" si="9"/>
        <v>7.101486115758894E-2</v>
      </c>
      <c r="T19" s="9">
        <f t="shared" si="10"/>
        <v>1E-4</v>
      </c>
      <c r="U19" s="1">
        <f t="shared" si="11"/>
        <v>0.105754837769282</v>
      </c>
      <c r="V19" s="9">
        <f t="shared" si="12"/>
        <v>2.0032558982695681E-6</v>
      </c>
      <c r="W19" s="9">
        <f t="shared" si="13"/>
        <v>3.5881647346344789E-2</v>
      </c>
      <c r="X19" s="9"/>
      <c r="Y19" s="9"/>
      <c r="Z19" s="9"/>
      <c r="AA19" s="1"/>
      <c r="AB19" s="1"/>
      <c r="AF19" s="9"/>
    </row>
    <row r="20" spans="2:32" x14ac:dyDescent="0.25">
      <c r="B20" s="18" t="s">
        <v>21</v>
      </c>
      <c r="C20" s="14">
        <f>10*0.000001</f>
        <v>9.9999999999999991E-6</v>
      </c>
      <c r="D20" s="11"/>
      <c r="E20" s="8">
        <v>76</v>
      </c>
      <c r="F20" s="11">
        <v>20</v>
      </c>
      <c r="G20" s="11">
        <v>5</v>
      </c>
      <c r="H20" s="11">
        <v>5</v>
      </c>
      <c r="I20" s="11">
        <v>250</v>
      </c>
      <c r="J20" s="11">
        <f t="shared" si="0"/>
        <v>12500</v>
      </c>
      <c r="K20" s="10">
        <f t="shared" si="1"/>
        <v>6.666666666666667</v>
      </c>
      <c r="L20" s="9">
        <f t="shared" si="2"/>
        <v>1.6200000000000001E-4</v>
      </c>
      <c r="M20" s="1">
        <f t="shared" si="3"/>
        <v>6.6520673478250358E-2</v>
      </c>
      <c r="N20" s="1">
        <f t="shared" si="4"/>
        <v>5.7008802734701339E-3</v>
      </c>
      <c r="O20" s="10">
        <f t="shared" si="5"/>
        <v>7.5164602800282889</v>
      </c>
      <c r="P20" s="1">
        <f t="shared" si="6"/>
        <v>0.33333333333333331</v>
      </c>
      <c r="Q20" s="1">
        <f t="shared" si="7"/>
        <v>1.1192601931654298</v>
      </c>
      <c r="R20" s="1">
        <f t="shared" si="8"/>
        <v>0.02</v>
      </c>
      <c r="S20" s="1">
        <f t="shared" si="9"/>
        <v>7.101486115758894E-2</v>
      </c>
      <c r="T20" s="9">
        <f t="shared" si="10"/>
        <v>1E-4</v>
      </c>
      <c r="U20" s="1">
        <f t="shared" si="11"/>
        <v>0.10575483776928202</v>
      </c>
      <c r="V20" s="9">
        <f t="shared" si="12"/>
        <v>2.0032558982695685E-6</v>
      </c>
      <c r="W20" s="9">
        <f t="shared" si="13"/>
        <v>3.5881647346344789E-2</v>
      </c>
      <c r="X20" s="9"/>
      <c r="Y20" s="9"/>
      <c r="Z20" s="9"/>
      <c r="AA20" s="1"/>
      <c r="AB20" s="1"/>
    </row>
    <row r="21" spans="2:32" x14ac:dyDescent="0.25">
      <c r="B21" s="18" t="s">
        <v>15</v>
      </c>
      <c r="C21" s="5">
        <v>0.75</v>
      </c>
      <c r="D21" s="11"/>
      <c r="E21" s="8">
        <v>77</v>
      </c>
      <c r="F21" s="11">
        <v>24</v>
      </c>
      <c r="G21" s="11">
        <v>5</v>
      </c>
      <c r="H21" s="11">
        <v>5</v>
      </c>
      <c r="I21" s="11">
        <v>250</v>
      </c>
      <c r="J21" s="11">
        <f t="shared" si="0"/>
        <v>12500</v>
      </c>
      <c r="K21" s="10">
        <f t="shared" si="1"/>
        <v>6.666666666666667</v>
      </c>
      <c r="L21" s="9">
        <f t="shared" si="2"/>
        <v>2.3328000000000002E-4</v>
      </c>
      <c r="M21" s="1">
        <f t="shared" si="3"/>
        <v>5.5433894565208634E-2</v>
      </c>
      <c r="N21" s="1">
        <f t="shared" si="4"/>
        <v>5.6339665880880078E-3</v>
      </c>
      <c r="O21" s="10">
        <f t="shared" si="5"/>
        <v>7.5164602800282889</v>
      </c>
      <c r="P21" s="1">
        <f t="shared" si="6"/>
        <v>0.27777777777777779</v>
      </c>
      <c r="Q21" s="1">
        <f t="shared" si="7"/>
        <v>1.0217400925238258</v>
      </c>
      <c r="R21" s="1">
        <f t="shared" si="8"/>
        <v>0.02</v>
      </c>
      <c r="S21" s="1">
        <f t="shared" si="9"/>
        <v>7.101486115758894E-2</v>
      </c>
      <c r="T21" s="9">
        <f t="shared" si="10"/>
        <v>1E-4</v>
      </c>
      <c r="U21" s="1">
        <f t="shared" si="11"/>
        <v>0.10575483776928202</v>
      </c>
      <c r="V21" s="9">
        <f t="shared" si="12"/>
        <v>2.0032558982695685E-6</v>
      </c>
      <c r="W21" s="9">
        <f t="shared" si="13"/>
        <v>3.5881647346344789E-2</v>
      </c>
      <c r="X21" s="9"/>
      <c r="Y21" s="9"/>
      <c r="Z21" s="9"/>
      <c r="AA21" s="1"/>
      <c r="AB21" s="1"/>
    </row>
    <row r="22" spans="2:32" x14ac:dyDescent="0.25">
      <c r="B22" s="20" t="s">
        <v>48</v>
      </c>
      <c r="C22" s="39">
        <v>1.2999999999999999E-2</v>
      </c>
      <c r="D22" s="11"/>
      <c r="E22" s="8">
        <v>107</v>
      </c>
      <c r="F22" s="11">
        <v>10</v>
      </c>
      <c r="G22" s="11">
        <v>5</v>
      </c>
      <c r="H22" s="11">
        <v>5</v>
      </c>
      <c r="I22" s="11">
        <v>400</v>
      </c>
      <c r="J22" s="11">
        <f t="shared" si="0"/>
        <v>32000</v>
      </c>
      <c r="K22" s="10">
        <f t="shared" si="1"/>
        <v>6.666666666666667</v>
      </c>
      <c r="L22" s="9">
        <f t="shared" si="2"/>
        <v>4.0500000000000002E-5</v>
      </c>
      <c r="M22" s="1">
        <f t="shared" si="3"/>
        <v>0.13304134695650072</v>
      </c>
      <c r="N22" s="1">
        <f t="shared" si="4"/>
        <v>3.8364386378016068E-3</v>
      </c>
      <c r="O22" s="10">
        <f t="shared" si="5"/>
        <v>7.5164602800282889</v>
      </c>
      <c r="P22" s="1">
        <f t="shared" si="6"/>
        <v>0.66666666666666663</v>
      </c>
      <c r="Q22" s="1">
        <f t="shared" si="7"/>
        <v>1.5828729449988808</v>
      </c>
      <c r="R22" s="1">
        <f t="shared" si="8"/>
        <v>1.2500000000000001E-2</v>
      </c>
      <c r="S22" s="1">
        <f t="shared" si="9"/>
        <v>5.6142177244650676E-2</v>
      </c>
      <c r="T22" s="9">
        <f t="shared" si="10"/>
        <v>1E-4</v>
      </c>
      <c r="U22" s="1">
        <f t="shared" si="11"/>
        <v>6.6096773605801268E-2</v>
      </c>
      <c r="V22" s="9">
        <f t="shared" si="12"/>
        <v>1.2782476373050598E-6</v>
      </c>
      <c r="W22" s="9">
        <f t="shared" si="13"/>
        <v>2.3374885556611828E-2</v>
      </c>
      <c r="X22" s="9"/>
      <c r="Y22" s="9"/>
      <c r="Z22" s="9"/>
      <c r="AA22" s="1"/>
      <c r="AB22" s="1"/>
      <c r="AF22" s="9"/>
    </row>
    <row r="23" spans="2:32" x14ac:dyDescent="0.25">
      <c r="B23" s="36"/>
      <c r="C23" s="35"/>
      <c r="D23" s="11"/>
      <c r="E23" s="8">
        <v>108</v>
      </c>
      <c r="F23" s="11">
        <v>12</v>
      </c>
      <c r="G23" s="11">
        <v>5</v>
      </c>
      <c r="H23" s="11">
        <v>5</v>
      </c>
      <c r="I23" s="11">
        <v>400</v>
      </c>
      <c r="J23" s="11">
        <f t="shared" si="0"/>
        <v>32000</v>
      </c>
      <c r="K23" s="10">
        <f t="shared" si="1"/>
        <v>6.666666666666667</v>
      </c>
      <c r="L23" s="9">
        <f t="shared" si="2"/>
        <v>5.8320000000000004E-5</v>
      </c>
      <c r="M23" s="1">
        <f t="shared" si="3"/>
        <v>0.11086778913041727</v>
      </c>
      <c r="N23" s="1">
        <f t="shared" si="4"/>
        <v>3.7407638968108177E-3</v>
      </c>
      <c r="O23" s="10">
        <f t="shared" si="5"/>
        <v>7.5164602800282889</v>
      </c>
      <c r="P23" s="1">
        <f t="shared" si="6"/>
        <v>0.55555555555555558</v>
      </c>
      <c r="Q23" s="1">
        <f t="shared" si="7"/>
        <v>1.4449586960675354</v>
      </c>
      <c r="R23" s="1">
        <f t="shared" si="8"/>
        <v>1.2500000000000001E-2</v>
      </c>
      <c r="S23" s="1">
        <f t="shared" si="9"/>
        <v>5.6142177244650676E-2</v>
      </c>
      <c r="T23" s="9">
        <f t="shared" si="10"/>
        <v>1E-4</v>
      </c>
      <c r="U23" s="1">
        <f t="shared" si="11"/>
        <v>6.6096773605801268E-2</v>
      </c>
      <c r="V23" s="9">
        <f t="shared" si="12"/>
        <v>1.2782476373050598E-6</v>
      </c>
      <c r="W23" s="9">
        <f t="shared" si="13"/>
        <v>2.3374885556611828E-2</v>
      </c>
      <c r="X23" s="9"/>
      <c r="Y23" s="9"/>
      <c r="Z23" s="9"/>
      <c r="AA23" s="1"/>
      <c r="AB23" s="1"/>
    </row>
    <row r="24" spans="2:32" x14ac:dyDescent="0.25">
      <c r="D24" s="11"/>
      <c r="E24" s="8">
        <v>109</v>
      </c>
      <c r="F24" s="11">
        <v>15</v>
      </c>
      <c r="G24" s="11">
        <v>5</v>
      </c>
      <c r="H24" s="11">
        <v>5</v>
      </c>
      <c r="I24" s="11">
        <v>400</v>
      </c>
      <c r="J24" s="11">
        <f t="shared" si="0"/>
        <v>32000</v>
      </c>
      <c r="K24" s="10">
        <f t="shared" si="1"/>
        <v>6.666666666666667</v>
      </c>
      <c r="L24" s="9">
        <f t="shared" si="2"/>
        <v>9.1125000000000006E-5</v>
      </c>
      <c r="M24" s="1">
        <f t="shared" si="3"/>
        <v>8.8694231304333807E-2</v>
      </c>
      <c r="N24" s="1">
        <f t="shared" si="4"/>
        <v>3.6497450012557301E-3</v>
      </c>
      <c r="O24" s="10">
        <f t="shared" si="5"/>
        <v>7.5164602800282889</v>
      </c>
      <c r="P24" s="1">
        <f t="shared" si="6"/>
        <v>0.44444444444444442</v>
      </c>
      <c r="Q24" s="1">
        <f t="shared" si="7"/>
        <v>1.2924103476345867</v>
      </c>
      <c r="R24" s="1">
        <f t="shared" si="8"/>
        <v>1.2500000000000001E-2</v>
      </c>
      <c r="S24" s="1">
        <f t="shared" si="9"/>
        <v>5.6142177244650676E-2</v>
      </c>
      <c r="T24" s="9">
        <f t="shared" si="10"/>
        <v>1E-4</v>
      </c>
      <c r="U24" s="1">
        <f t="shared" si="11"/>
        <v>6.6096773605801268E-2</v>
      </c>
      <c r="V24" s="9">
        <f t="shared" si="12"/>
        <v>1.2782476373050598E-6</v>
      </c>
      <c r="W24" s="9">
        <f t="shared" si="13"/>
        <v>2.3374885556611828E-2</v>
      </c>
      <c r="X24" s="9"/>
      <c r="Y24" s="9"/>
      <c r="Z24" s="9"/>
      <c r="AA24" s="1"/>
      <c r="AB24" s="1"/>
    </row>
    <row r="25" spans="2:32" x14ac:dyDescent="0.25">
      <c r="D25" s="11"/>
      <c r="E25" s="8">
        <v>110</v>
      </c>
      <c r="F25" s="11">
        <v>18</v>
      </c>
      <c r="G25" s="11">
        <v>5</v>
      </c>
      <c r="H25" s="11">
        <v>5</v>
      </c>
      <c r="I25" s="11">
        <v>400</v>
      </c>
      <c r="J25" s="11">
        <f t="shared" si="0"/>
        <v>32000</v>
      </c>
      <c r="K25" s="10">
        <f t="shared" si="1"/>
        <v>6.666666666666667</v>
      </c>
      <c r="L25" s="9">
        <f t="shared" si="2"/>
        <v>1.3122000000000001E-4</v>
      </c>
      <c r="M25" s="1">
        <f t="shared" si="3"/>
        <v>7.391185942027817E-2</v>
      </c>
      <c r="N25" s="1">
        <f t="shared" si="4"/>
        <v>3.5914871686300331E-3</v>
      </c>
      <c r="O25" s="10">
        <f t="shared" si="5"/>
        <v>7.5164602800282889</v>
      </c>
      <c r="P25" s="1">
        <f t="shared" si="6"/>
        <v>0.37037037037037035</v>
      </c>
      <c r="Q25" s="1">
        <f t="shared" si="7"/>
        <v>1.1798038349209277</v>
      </c>
      <c r="R25" s="1">
        <f t="shared" si="8"/>
        <v>1.2500000000000001E-2</v>
      </c>
      <c r="S25" s="1">
        <f t="shared" si="9"/>
        <v>5.6142177244650676E-2</v>
      </c>
      <c r="T25" s="9">
        <f t="shared" si="10"/>
        <v>1E-4</v>
      </c>
      <c r="U25" s="1">
        <f t="shared" si="11"/>
        <v>6.6096773605801254E-2</v>
      </c>
      <c r="V25" s="9">
        <f t="shared" si="12"/>
        <v>1.2782476373050593E-6</v>
      </c>
      <c r="W25" s="9">
        <f t="shared" si="13"/>
        <v>2.3374885556611817E-2</v>
      </c>
      <c r="X25" s="9"/>
      <c r="Y25" s="9"/>
      <c r="Z25" s="9"/>
      <c r="AA25" s="1"/>
      <c r="AB25" s="1"/>
    </row>
    <row r="26" spans="2:32" x14ac:dyDescent="0.25">
      <c r="D26" s="11"/>
      <c r="E26" s="8">
        <v>111</v>
      </c>
      <c r="F26" s="11">
        <v>20</v>
      </c>
      <c r="G26" s="11">
        <v>5</v>
      </c>
      <c r="H26" s="11">
        <v>5</v>
      </c>
      <c r="I26" s="11">
        <v>400</v>
      </c>
      <c r="J26" s="11">
        <f t="shared" si="0"/>
        <v>32000</v>
      </c>
      <c r="K26" s="10">
        <f t="shared" si="1"/>
        <v>6.666666666666667</v>
      </c>
      <c r="L26" s="9">
        <f t="shared" si="2"/>
        <v>1.6200000000000001E-4</v>
      </c>
      <c r="M26" s="1">
        <f t="shared" si="3"/>
        <v>6.6520673478250358E-2</v>
      </c>
      <c r="N26" s="1">
        <f t="shared" si="4"/>
        <v>3.5630501709188341E-3</v>
      </c>
      <c r="O26" s="10">
        <f t="shared" si="5"/>
        <v>7.5164602800282889</v>
      </c>
      <c r="P26" s="1">
        <f t="shared" si="6"/>
        <v>0.33333333333333331</v>
      </c>
      <c r="Q26" s="1">
        <f t="shared" si="7"/>
        <v>1.1192601931654298</v>
      </c>
      <c r="R26" s="1">
        <f t="shared" si="8"/>
        <v>1.2500000000000001E-2</v>
      </c>
      <c r="S26" s="1">
        <f t="shared" si="9"/>
        <v>5.6142177244650676E-2</v>
      </c>
      <c r="T26" s="9">
        <f t="shared" si="10"/>
        <v>1E-4</v>
      </c>
      <c r="U26" s="1">
        <f t="shared" si="11"/>
        <v>6.6096773605801268E-2</v>
      </c>
      <c r="V26" s="9">
        <f t="shared" si="12"/>
        <v>1.2782476373050598E-6</v>
      </c>
      <c r="W26" s="9">
        <f t="shared" si="13"/>
        <v>2.3374885556611828E-2</v>
      </c>
      <c r="X26" s="9"/>
      <c r="Y26" s="9"/>
      <c r="Z26" s="9"/>
      <c r="AA26" s="1"/>
      <c r="AB26" s="1"/>
    </row>
    <row r="27" spans="2:32" x14ac:dyDescent="0.25">
      <c r="B27" s="1"/>
      <c r="D27" s="11"/>
      <c r="E27" s="8">
        <v>112</v>
      </c>
      <c r="F27" s="11">
        <v>24</v>
      </c>
      <c r="G27" s="11">
        <v>5</v>
      </c>
      <c r="H27" s="11">
        <v>5</v>
      </c>
      <c r="I27" s="11">
        <v>400</v>
      </c>
      <c r="J27" s="11">
        <f t="shared" si="0"/>
        <v>32000</v>
      </c>
      <c r="K27" s="10">
        <f t="shared" si="1"/>
        <v>6.666666666666667</v>
      </c>
      <c r="L27" s="9">
        <f t="shared" si="2"/>
        <v>2.3328000000000002E-4</v>
      </c>
      <c r="M27" s="1">
        <f t="shared" si="3"/>
        <v>5.5433894565208634E-2</v>
      </c>
      <c r="N27" s="1">
        <f t="shared" si="4"/>
        <v>3.5212291175550051E-3</v>
      </c>
      <c r="O27" s="10">
        <f t="shared" si="5"/>
        <v>7.5164602800282889</v>
      </c>
      <c r="P27" s="1">
        <f t="shared" si="6"/>
        <v>0.27777777777777779</v>
      </c>
      <c r="Q27" s="1">
        <f t="shared" si="7"/>
        <v>1.0217400925238258</v>
      </c>
      <c r="R27" s="1">
        <f t="shared" si="8"/>
        <v>1.2500000000000001E-2</v>
      </c>
      <c r="S27" s="1">
        <f t="shared" si="9"/>
        <v>5.6142177244650676E-2</v>
      </c>
      <c r="T27" s="9">
        <f t="shared" si="10"/>
        <v>1E-4</v>
      </c>
      <c r="U27" s="1">
        <f t="shared" si="11"/>
        <v>6.6096773605801268E-2</v>
      </c>
      <c r="V27" s="9">
        <f t="shared" si="12"/>
        <v>1.2782476373050598E-6</v>
      </c>
      <c r="W27" s="9">
        <f t="shared" si="13"/>
        <v>2.3374885556611828E-2</v>
      </c>
      <c r="X27" s="9"/>
      <c r="Y27" s="9"/>
      <c r="Z27" s="9"/>
      <c r="AA27" s="1"/>
      <c r="AB27" s="1"/>
    </row>
    <row r="28" spans="2:32" x14ac:dyDescent="0.25">
      <c r="B28" s="1"/>
      <c r="D28" s="11"/>
      <c r="E28" s="8">
        <v>144</v>
      </c>
      <c r="F28" s="11">
        <v>15</v>
      </c>
      <c r="G28" s="11">
        <v>5</v>
      </c>
      <c r="H28" s="11">
        <v>5</v>
      </c>
      <c r="I28" s="11">
        <v>550</v>
      </c>
      <c r="J28" s="11">
        <f t="shared" si="0"/>
        <v>60500</v>
      </c>
      <c r="K28" s="10">
        <f t="shared" si="1"/>
        <v>6.666666666666667</v>
      </c>
      <c r="L28" s="9">
        <f t="shared" si="2"/>
        <v>9.1125000000000006E-5</v>
      </c>
      <c r="M28" s="1">
        <f t="shared" si="3"/>
        <v>8.8694231304333807E-2</v>
      </c>
      <c r="N28" s="1">
        <f t="shared" si="4"/>
        <v>2.6543600009132583E-3</v>
      </c>
      <c r="O28" s="10">
        <f t="shared" si="5"/>
        <v>7.5164602800282889</v>
      </c>
      <c r="P28" s="1">
        <f t="shared" si="6"/>
        <v>0.44444444444444442</v>
      </c>
      <c r="Q28" s="1">
        <f t="shared" si="7"/>
        <v>1.2924103476345867</v>
      </c>
      <c r="R28" s="1">
        <f t="shared" si="8"/>
        <v>9.0909090909090905E-3</v>
      </c>
      <c r="S28" s="1">
        <f t="shared" si="9"/>
        <v>4.7878209625292698E-2</v>
      </c>
      <c r="T28" s="9">
        <f t="shared" si="10"/>
        <v>1E-4</v>
      </c>
      <c r="U28" s="1">
        <f t="shared" si="11"/>
        <v>4.8070380804219104E-2</v>
      </c>
      <c r="V28" s="9">
        <f t="shared" si="12"/>
        <v>9.3830000097775563E-7</v>
      </c>
      <c r="W28" s="9">
        <f t="shared" si="13"/>
        <v>1.7318314719517214E-2</v>
      </c>
      <c r="X28" s="9"/>
      <c r="Y28" s="9"/>
      <c r="Z28" s="9"/>
      <c r="AA28" s="1"/>
      <c r="AB28" s="1"/>
    </row>
    <row r="29" spans="2:32" x14ac:dyDescent="0.25">
      <c r="D29" s="11"/>
      <c r="E29" s="8">
        <v>142</v>
      </c>
      <c r="F29" s="11">
        <v>10</v>
      </c>
      <c r="G29" s="11">
        <v>5</v>
      </c>
      <c r="H29" s="11">
        <v>5</v>
      </c>
      <c r="I29" s="11">
        <v>550</v>
      </c>
      <c r="J29" s="11">
        <f t="shared" si="0"/>
        <v>60500</v>
      </c>
      <c r="K29" s="10">
        <f t="shared" si="1"/>
        <v>6.666666666666667</v>
      </c>
      <c r="L29" s="9">
        <f t="shared" si="2"/>
        <v>4.0500000000000002E-5</v>
      </c>
      <c r="M29" s="1">
        <f t="shared" si="3"/>
        <v>0.13304134695650072</v>
      </c>
      <c r="N29" s="1">
        <f t="shared" si="4"/>
        <v>2.790137191128441E-3</v>
      </c>
      <c r="O29" s="10">
        <f t="shared" si="5"/>
        <v>7.5164602800282889</v>
      </c>
      <c r="P29" s="1">
        <f t="shared" si="6"/>
        <v>0.66666666666666663</v>
      </c>
      <c r="Q29" s="1">
        <f t="shared" si="7"/>
        <v>1.5828729449988808</v>
      </c>
      <c r="R29" s="1">
        <f t="shared" si="8"/>
        <v>9.0909090909090905E-3</v>
      </c>
      <c r="S29" s="1">
        <f t="shared" si="9"/>
        <v>4.7878209625292698E-2</v>
      </c>
      <c r="T29" s="9">
        <f t="shared" si="10"/>
        <v>1E-4</v>
      </c>
      <c r="U29" s="1">
        <f t="shared" si="11"/>
        <v>4.8070380804219104E-2</v>
      </c>
      <c r="V29" s="9">
        <f t="shared" si="12"/>
        <v>9.3830000097775563E-7</v>
      </c>
      <c r="W29" s="9">
        <f t="shared" si="13"/>
        <v>1.7318314719517214E-2</v>
      </c>
      <c r="X29" s="9"/>
      <c r="Y29" s="9"/>
      <c r="Z29" s="9"/>
      <c r="AA29" s="1"/>
      <c r="AB29" s="1"/>
    </row>
    <row r="30" spans="2:32" x14ac:dyDescent="0.25">
      <c r="D30" s="11"/>
      <c r="E30" s="8">
        <v>143</v>
      </c>
      <c r="F30" s="11">
        <v>12</v>
      </c>
      <c r="G30" s="11">
        <v>5</v>
      </c>
      <c r="H30" s="11">
        <v>5</v>
      </c>
      <c r="I30" s="11">
        <v>550</v>
      </c>
      <c r="J30" s="11">
        <f t="shared" si="0"/>
        <v>60500</v>
      </c>
      <c r="K30" s="10">
        <f t="shared" si="1"/>
        <v>6.666666666666667</v>
      </c>
      <c r="L30" s="9">
        <f t="shared" si="2"/>
        <v>5.8320000000000004E-5</v>
      </c>
      <c r="M30" s="1">
        <f t="shared" si="3"/>
        <v>0.11086778913041727</v>
      </c>
      <c r="N30" s="1">
        <f t="shared" si="4"/>
        <v>2.7205555613169586E-3</v>
      </c>
      <c r="O30" s="10">
        <f t="shared" si="5"/>
        <v>7.5164602800282889</v>
      </c>
      <c r="P30" s="1">
        <f t="shared" si="6"/>
        <v>0.55555555555555558</v>
      </c>
      <c r="Q30" s="1">
        <f t="shared" si="7"/>
        <v>1.4449586960675354</v>
      </c>
      <c r="R30" s="1">
        <f t="shared" si="8"/>
        <v>9.0909090909090905E-3</v>
      </c>
      <c r="S30" s="1">
        <f t="shared" si="9"/>
        <v>4.7878209625292698E-2</v>
      </c>
      <c r="T30" s="9">
        <f t="shared" si="10"/>
        <v>1E-4</v>
      </c>
      <c r="U30" s="1">
        <f t="shared" si="11"/>
        <v>4.8070380804219104E-2</v>
      </c>
      <c r="V30" s="9">
        <f t="shared" si="12"/>
        <v>9.3830000097775563E-7</v>
      </c>
      <c r="W30" s="9">
        <f t="shared" si="13"/>
        <v>1.7318314719517214E-2</v>
      </c>
      <c r="X30" s="9"/>
      <c r="Y30" s="9"/>
      <c r="Z30" s="9"/>
      <c r="AA30" s="1"/>
      <c r="AB30" s="1"/>
    </row>
    <row r="31" spans="2:32" x14ac:dyDescent="0.25">
      <c r="D31" s="11"/>
      <c r="E31" s="8">
        <v>145</v>
      </c>
      <c r="F31" s="11">
        <v>18</v>
      </c>
      <c r="G31" s="11">
        <v>5</v>
      </c>
      <c r="H31" s="11">
        <v>5</v>
      </c>
      <c r="I31" s="11">
        <v>550</v>
      </c>
      <c r="J31" s="11">
        <f t="shared" si="0"/>
        <v>60500</v>
      </c>
      <c r="K31" s="10">
        <f t="shared" si="1"/>
        <v>6.666666666666667</v>
      </c>
      <c r="L31" s="9">
        <f t="shared" si="2"/>
        <v>1.3122000000000001E-4</v>
      </c>
      <c r="M31" s="1">
        <f t="shared" si="3"/>
        <v>7.391185942027817E-2</v>
      </c>
      <c r="N31" s="1">
        <f t="shared" si="4"/>
        <v>2.6119906680945695E-3</v>
      </c>
      <c r="O31" s="10">
        <f t="shared" si="5"/>
        <v>7.5164602800282889</v>
      </c>
      <c r="P31" s="1">
        <f t="shared" si="6"/>
        <v>0.37037037037037035</v>
      </c>
      <c r="Q31" s="1">
        <f t="shared" si="7"/>
        <v>1.1798038349209277</v>
      </c>
      <c r="R31" s="1">
        <f t="shared" si="8"/>
        <v>9.0909090909090905E-3</v>
      </c>
      <c r="S31" s="1">
        <f t="shared" si="9"/>
        <v>4.7878209625292698E-2</v>
      </c>
      <c r="T31" s="9">
        <f t="shared" si="10"/>
        <v>1E-4</v>
      </c>
      <c r="U31" s="1">
        <f t="shared" si="11"/>
        <v>4.8070380804219097E-2</v>
      </c>
      <c r="V31" s="9">
        <f t="shared" si="12"/>
        <v>9.3830000097775563E-7</v>
      </c>
      <c r="W31" s="9">
        <f t="shared" si="13"/>
        <v>1.7318314719517214E-2</v>
      </c>
      <c r="X31" s="9"/>
      <c r="Y31" s="9"/>
      <c r="Z31" s="9"/>
      <c r="AA31" s="1"/>
      <c r="AB31" s="1"/>
    </row>
    <row r="32" spans="2:32" x14ac:dyDescent="0.25">
      <c r="D32" s="11"/>
      <c r="E32" s="8">
        <v>146</v>
      </c>
      <c r="F32" s="11">
        <v>20</v>
      </c>
      <c r="G32" s="11">
        <v>5</v>
      </c>
      <c r="H32" s="11">
        <v>5</v>
      </c>
      <c r="I32" s="11">
        <v>550</v>
      </c>
      <c r="J32" s="11">
        <f t="shared" si="0"/>
        <v>60500</v>
      </c>
      <c r="K32" s="10">
        <f t="shared" si="1"/>
        <v>6.666666666666667</v>
      </c>
      <c r="L32" s="9">
        <f t="shared" si="2"/>
        <v>1.6200000000000001E-4</v>
      </c>
      <c r="M32" s="1">
        <f t="shared" si="3"/>
        <v>6.6520673478250358E-2</v>
      </c>
      <c r="N32" s="1">
        <f t="shared" si="4"/>
        <v>2.5913092152136971E-3</v>
      </c>
      <c r="O32" s="10">
        <f t="shared" si="5"/>
        <v>7.5164602800282889</v>
      </c>
      <c r="P32" s="1">
        <f t="shared" si="6"/>
        <v>0.33333333333333331</v>
      </c>
      <c r="Q32" s="1">
        <f t="shared" si="7"/>
        <v>1.1192601931654298</v>
      </c>
      <c r="R32" s="1">
        <f t="shared" si="8"/>
        <v>9.0909090909090905E-3</v>
      </c>
      <c r="S32" s="1">
        <f t="shared" si="9"/>
        <v>4.7878209625292698E-2</v>
      </c>
      <c r="T32" s="9">
        <f t="shared" si="10"/>
        <v>1E-4</v>
      </c>
      <c r="U32" s="1">
        <f t="shared" si="11"/>
        <v>4.8070380804219104E-2</v>
      </c>
      <c r="V32" s="9">
        <f t="shared" si="12"/>
        <v>9.3830000097775563E-7</v>
      </c>
      <c r="W32" s="9">
        <f t="shared" si="13"/>
        <v>1.7318314719517214E-2</v>
      </c>
      <c r="X32" s="9"/>
      <c r="Y32" s="9"/>
      <c r="Z32" s="9"/>
      <c r="AA32" s="1"/>
      <c r="AB32" s="1"/>
    </row>
    <row r="33" spans="2:32" x14ac:dyDescent="0.25">
      <c r="D33" s="11"/>
      <c r="E33" s="8">
        <v>147</v>
      </c>
      <c r="F33" s="11">
        <v>24</v>
      </c>
      <c r="G33" s="11">
        <v>5</v>
      </c>
      <c r="H33" s="11">
        <v>5</v>
      </c>
      <c r="I33" s="11">
        <v>550</v>
      </c>
      <c r="J33" s="11">
        <f t="shared" si="0"/>
        <v>60500</v>
      </c>
      <c r="K33" s="10">
        <f t="shared" si="1"/>
        <v>6.666666666666667</v>
      </c>
      <c r="L33" s="9">
        <f t="shared" si="2"/>
        <v>2.3328000000000002E-4</v>
      </c>
      <c r="M33" s="1">
        <f t="shared" si="3"/>
        <v>5.5433894565208634E-2</v>
      </c>
      <c r="N33" s="1">
        <f t="shared" si="4"/>
        <v>2.5608939036763671E-3</v>
      </c>
      <c r="O33" s="10">
        <f t="shared" si="5"/>
        <v>7.5164602800282889</v>
      </c>
      <c r="P33" s="1">
        <f t="shared" si="6"/>
        <v>0.27777777777777779</v>
      </c>
      <c r="Q33" s="1">
        <f t="shared" si="7"/>
        <v>1.0217400925238258</v>
      </c>
      <c r="R33" s="1">
        <f t="shared" si="8"/>
        <v>9.0909090909090905E-3</v>
      </c>
      <c r="S33" s="1">
        <f t="shared" si="9"/>
        <v>4.7878209625292698E-2</v>
      </c>
      <c r="T33" s="9">
        <f t="shared" si="10"/>
        <v>1E-4</v>
      </c>
      <c r="U33" s="1">
        <f t="shared" si="11"/>
        <v>4.8070380804219104E-2</v>
      </c>
      <c r="V33" s="9">
        <f t="shared" si="12"/>
        <v>9.3830000097775563E-7</v>
      </c>
      <c r="W33" s="9">
        <f t="shared" si="13"/>
        <v>1.7318314719517214E-2</v>
      </c>
      <c r="X33" s="9"/>
      <c r="Y33" s="9"/>
      <c r="Z33" s="9"/>
      <c r="AA33" s="1"/>
      <c r="AB33" s="1"/>
      <c r="AD33" s="9"/>
      <c r="AF33" s="9"/>
    </row>
    <row r="34" spans="2:32" x14ac:dyDescent="0.25">
      <c r="D34" s="11"/>
      <c r="E34" s="8">
        <v>1</v>
      </c>
      <c r="F34" s="11">
        <v>9</v>
      </c>
      <c r="G34" s="11">
        <v>5</v>
      </c>
      <c r="H34" s="11">
        <v>5</v>
      </c>
      <c r="I34" s="11">
        <v>100</v>
      </c>
      <c r="J34" s="11">
        <f t="shared" si="0"/>
        <v>2000</v>
      </c>
      <c r="K34" s="10">
        <f t="shared" si="1"/>
        <v>6.666666666666667</v>
      </c>
      <c r="L34" s="9">
        <f t="shared" si="2"/>
        <v>3.2805000000000002E-5</v>
      </c>
      <c r="M34" s="1">
        <f t="shared" si="3"/>
        <v>0.14782371884055634</v>
      </c>
      <c r="N34" s="1">
        <f t="shared" si="4"/>
        <v>1.5611951411683145E-2</v>
      </c>
      <c r="O34" s="10">
        <f t="shared" si="5"/>
        <v>7.5164602800282889</v>
      </c>
      <c r="P34" s="1">
        <f t="shared" si="6"/>
        <v>0.7407407407407407</v>
      </c>
      <c r="Q34" s="1">
        <f t="shared" si="7"/>
        <v>1.6684945842849641</v>
      </c>
      <c r="R34" s="1">
        <f t="shared" si="8"/>
        <v>0.05</v>
      </c>
      <c r="S34" s="1">
        <f t="shared" si="9"/>
        <v>0.11228435448930135</v>
      </c>
      <c r="T34" s="9">
        <f t="shared" si="10"/>
        <v>1E-4</v>
      </c>
      <c r="U34" s="1">
        <f t="shared" si="11"/>
        <v>0.26438709442320502</v>
      </c>
      <c r="V34" s="9">
        <f t="shared" si="12"/>
        <v>4.5887365314886527E-6</v>
      </c>
      <c r="W34" s="9">
        <f t="shared" si="13"/>
        <v>7.5308803950118117E-2</v>
      </c>
      <c r="X34" s="9"/>
      <c r="Y34" s="9"/>
      <c r="Z34" s="9"/>
      <c r="AA34" s="1"/>
      <c r="AB34" s="1"/>
      <c r="AF34" s="9"/>
    </row>
    <row r="35" spans="2:32" x14ac:dyDescent="0.25">
      <c r="D35" s="11"/>
      <c r="E35" s="8">
        <v>36</v>
      </c>
      <c r="F35" s="11">
        <v>9</v>
      </c>
      <c r="G35" s="11">
        <v>5</v>
      </c>
      <c r="H35" s="11">
        <v>5</v>
      </c>
      <c r="I35" s="11">
        <v>170</v>
      </c>
      <c r="J35" s="11">
        <f t="shared" si="0"/>
        <v>5780</v>
      </c>
      <c r="K35" s="10">
        <f t="shared" si="1"/>
        <v>6.666666666666667</v>
      </c>
      <c r="L35" s="9">
        <f t="shared" si="2"/>
        <v>3.2805000000000002E-5</v>
      </c>
      <c r="M35" s="1">
        <f t="shared" si="3"/>
        <v>0.14782371884055634</v>
      </c>
      <c r="N35" s="1">
        <f t="shared" si="4"/>
        <v>9.1835008304018504E-3</v>
      </c>
      <c r="O35" s="10">
        <f t="shared" si="5"/>
        <v>7.5164602800282889</v>
      </c>
      <c r="P35" s="1">
        <f t="shared" si="6"/>
        <v>0.7407407407407407</v>
      </c>
      <c r="Q35" s="1">
        <f t="shared" si="7"/>
        <v>1.6684945842849641</v>
      </c>
      <c r="R35" s="1">
        <f t="shared" si="8"/>
        <v>2.9411764705882353E-2</v>
      </c>
      <c r="S35" s="1">
        <f t="shared" si="9"/>
        <v>8.6118168688621183E-2</v>
      </c>
      <c r="T35" s="9">
        <f t="shared" si="10"/>
        <v>1E-4</v>
      </c>
      <c r="U35" s="1">
        <f t="shared" si="11"/>
        <v>0.15552182024894415</v>
      </c>
      <c r="V35" s="9">
        <f t="shared" si="12"/>
        <v>2.868566039243434E-6</v>
      </c>
      <c r="W35" s="9">
        <f t="shared" si="13"/>
        <v>5.00308787584966E-2</v>
      </c>
      <c r="X35" s="9"/>
      <c r="Y35" s="9"/>
      <c r="Z35" s="9"/>
      <c r="AA35" s="1"/>
      <c r="AB35" s="1"/>
      <c r="AF35" s="9"/>
    </row>
    <row r="36" spans="2:32" x14ac:dyDescent="0.25">
      <c r="D36" s="11"/>
      <c r="E36" s="8">
        <v>71</v>
      </c>
      <c r="F36" s="11">
        <v>9</v>
      </c>
      <c r="G36" s="11">
        <v>5</v>
      </c>
      <c r="H36" s="11">
        <v>5</v>
      </c>
      <c r="I36" s="11">
        <v>250</v>
      </c>
      <c r="J36" s="11">
        <f t="shared" ref="J36:J67" si="14">I36^2/H36</f>
        <v>12500</v>
      </c>
      <c r="K36" s="10">
        <f t="shared" ref="K36:K67" si="15">H36/eff</f>
        <v>6.666666666666667</v>
      </c>
      <c r="L36" s="9">
        <f t="shared" ref="L36:L67" si="16">F36^2*Dmax^2/(2*fs*H36)</f>
        <v>3.2805000000000002E-5</v>
      </c>
      <c r="M36" s="1">
        <f t="shared" ref="M36:M67" si="17">SQRT(2*fs*Lp*H36)/F36</f>
        <v>0.14782371884055634</v>
      </c>
      <c r="N36" s="1">
        <f t="shared" ref="N36:N67" si="18">F36*M36/(I36*(1-M36))</f>
        <v>6.2447805646732579E-3</v>
      </c>
      <c r="O36" s="10">
        <f t="shared" ref="O36:O67" si="19">SQRT(2*H36/(fs*Lp))</f>
        <v>7.5164602800282889</v>
      </c>
      <c r="P36" s="1">
        <f t="shared" ref="P36:P67" si="20">H36/(F36*eff)</f>
        <v>0.7407407407407407</v>
      </c>
      <c r="Q36" s="1">
        <f t="shared" ref="Q36:Q67" si="21">O36*SQRT(M36/3)</f>
        <v>1.6684945842849641</v>
      </c>
      <c r="R36" s="1">
        <f t="shared" ref="R36:R67" si="22">H36/I36</f>
        <v>0.02</v>
      </c>
      <c r="S36" s="1">
        <f t="shared" ref="S36:S67" si="23">SQRT(2*R36*n*O36/3)</f>
        <v>7.101486115758894E-2</v>
      </c>
      <c r="T36" s="9">
        <f t="shared" ref="T36:T67" si="24">0.5*Lp*O36^2</f>
        <v>1E-4</v>
      </c>
      <c r="U36" s="1">
        <f t="shared" ref="U36:U67" si="25">F36*M36/(n*I36)</f>
        <v>0.105754837769282</v>
      </c>
      <c r="V36" s="9">
        <f t="shared" ref="V36:V67" si="26">(n*O36-R36)*U36/(fs*n*O36)</f>
        <v>2.0032558982695681E-6</v>
      </c>
      <c r="W36" s="9">
        <f t="shared" ref="W36:W67" si="27">(n*O36-R36)*V36/(2*Cout)</f>
        <v>3.5881647346344789E-2</v>
      </c>
      <c r="X36" s="9"/>
      <c r="Y36" s="9"/>
      <c r="Z36" s="9"/>
      <c r="AA36" s="1"/>
      <c r="AB36" s="1"/>
    </row>
    <row r="37" spans="2:32" x14ac:dyDescent="0.25">
      <c r="D37" s="11"/>
      <c r="E37" s="8">
        <v>106</v>
      </c>
      <c r="F37" s="11">
        <v>9</v>
      </c>
      <c r="G37" s="11">
        <v>5</v>
      </c>
      <c r="H37" s="11">
        <v>5</v>
      </c>
      <c r="I37" s="11">
        <v>400</v>
      </c>
      <c r="J37" s="11">
        <f t="shared" si="14"/>
        <v>32000</v>
      </c>
      <c r="K37" s="10">
        <f t="shared" si="15"/>
        <v>6.666666666666667</v>
      </c>
      <c r="L37" s="9">
        <f t="shared" si="16"/>
        <v>3.2805000000000002E-5</v>
      </c>
      <c r="M37" s="1">
        <f t="shared" si="17"/>
        <v>0.14782371884055634</v>
      </c>
      <c r="N37" s="1">
        <f t="shared" si="18"/>
        <v>3.9029878529207862E-3</v>
      </c>
      <c r="O37" s="10">
        <f t="shared" si="19"/>
        <v>7.5164602800282889</v>
      </c>
      <c r="P37" s="1">
        <f t="shared" si="20"/>
        <v>0.7407407407407407</v>
      </c>
      <c r="Q37" s="1">
        <f t="shared" si="21"/>
        <v>1.6684945842849641</v>
      </c>
      <c r="R37" s="1">
        <f t="shared" si="22"/>
        <v>1.2500000000000001E-2</v>
      </c>
      <c r="S37" s="1">
        <f t="shared" si="23"/>
        <v>5.6142177244650676E-2</v>
      </c>
      <c r="T37" s="9">
        <f t="shared" si="24"/>
        <v>1E-4</v>
      </c>
      <c r="U37" s="1">
        <f t="shared" si="25"/>
        <v>6.6096773605801254E-2</v>
      </c>
      <c r="V37" s="9">
        <f t="shared" si="26"/>
        <v>1.2782476373050593E-6</v>
      </c>
      <c r="W37" s="9">
        <f t="shared" si="27"/>
        <v>2.3374885556611817E-2</v>
      </c>
      <c r="X37" s="9"/>
      <c r="Y37" s="9"/>
      <c r="Z37" s="9"/>
      <c r="AA37" s="1"/>
      <c r="AB37" s="1"/>
    </row>
    <row r="38" spans="2:32" x14ac:dyDescent="0.25">
      <c r="D38" s="11"/>
      <c r="E38" s="8">
        <v>141</v>
      </c>
      <c r="F38" s="11">
        <v>9</v>
      </c>
      <c r="G38" s="11">
        <v>5</v>
      </c>
      <c r="H38" s="11">
        <v>5</v>
      </c>
      <c r="I38" s="11">
        <v>550</v>
      </c>
      <c r="J38" s="11">
        <f t="shared" si="14"/>
        <v>60500</v>
      </c>
      <c r="K38" s="10">
        <f t="shared" si="15"/>
        <v>6.666666666666667</v>
      </c>
      <c r="L38" s="9">
        <f t="shared" si="16"/>
        <v>3.2805000000000002E-5</v>
      </c>
      <c r="M38" s="1">
        <f t="shared" si="17"/>
        <v>0.14782371884055634</v>
      </c>
      <c r="N38" s="1">
        <f t="shared" si="18"/>
        <v>2.8385366203060262E-3</v>
      </c>
      <c r="O38" s="10">
        <f t="shared" si="19"/>
        <v>7.5164602800282889</v>
      </c>
      <c r="P38" s="1">
        <f t="shared" si="20"/>
        <v>0.7407407407407407</v>
      </c>
      <c r="Q38" s="1">
        <f t="shared" si="21"/>
        <v>1.6684945842849641</v>
      </c>
      <c r="R38" s="1">
        <f t="shared" si="22"/>
        <v>9.0909090909090905E-3</v>
      </c>
      <c r="S38" s="1">
        <f t="shared" si="23"/>
        <v>4.7878209625292698E-2</v>
      </c>
      <c r="T38" s="9">
        <f t="shared" si="24"/>
        <v>1E-4</v>
      </c>
      <c r="U38" s="1">
        <f t="shared" si="25"/>
        <v>4.8070380804219097E-2</v>
      </c>
      <c r="V38" s="9">
        <f t="shared" si="26"/>
        <v>9.3830000097775563E-7</v>
      </c>
      <c r="W38" s="9">
        <f t="shared" si="27"/>
        <v>1.7318314719517214E-2</v>
      </c>
      <c r="X38" s="9"/>
      <c r="Y38" s="9"/>
      <c r="Z38" s="9"/>
      <c r="AA38" s="1"/>
      <c r="AB38" s="1"/>
    </row>
    <row r="39" spans="2:32" x14ac:dyDescent="0.25">
      <c r="D39" s="11"/>
      <c r="E39" s="8">
        <v>8</v>
      </c>
      <c r="F39" s="11">
        <v>9</v>
      </c>
      <c r="G39" s="11">
        <v>20</v>
      </c>
      <c r="H39" s="11">
        <v>20</v>
      </c>
      <c r="I39" s="11">
        <v>100</v>
      </c>
      <c r="J39" s="11">
        <f t="shared" si="14"/>
        <v>500</v>
      </c>
      <c r="K39" s="10">
        <f t="shared" si="15"/>
        <v>26.666666666666668</v>
      </c>
      <c r="L39" s="9">
        <f t="shared" si="16"/>
        <v>8.2012500000000005E-6</v>
      </c>
      <c r="M39" s="1">
        <f t="shared" si="17"/>
        <v>0.29564743768111268</v>
      </c>
      <c r="N39" s="1">
        <f t="shared" si="18"/>
        <v>3.7776918570012329E-2</v>
      </c>
      <c r="O39" s="10">
        <f t="shared" si="19"/>
        <v>15.032920560056578</v>
      </c>
      <c r="P39" s="1">
        <f t="shared" si="20"/>
        <v>2.9629629629629628</v>
      </c>
      <c r="Q39" s="1">
        <f t="shared" si="21"/>
        <v>4.7192153396837107</v>
      </c>
      <c r="R39" s="1">
        <f t="shared" si="22"/>
        <v>0.2</v>
      </c>
      <c r="S39" s="1">
        <f t="shared" si="23"/>
        <v>0.31758811392215658</v>
      </c>
      <c r="T39" s="9">
        <f t="shared" si="24"/>
        <v>4.0000000000000002E-4</v>
      </c>
      <c r="U39" s="1">
        <f t="shared" si="25"/>
        <v>0.52877418884641003</v>
      </c>
      <c r="V39" s="9">
        <f t="shared" si="26"/>
        <v>7.7794623490264108E-6</v>
      </c>
      <c r="W39" s="9">
        <f t="shared" si="27"/>
        <v>0.21645053874045384</v>
      </c>
      <c r="X39" s="9"/>
      <c r="Y39" s="9"/>
      <c r="Z39" s="9"/>
      <c r="AA39" s="1"/>
      <c r="AB39" s="1"/>
    </row>
    <row r="40" spans="2:32" x14ac:dyDescent="0.25">
      <c r="D40" s="11"/>
      <c r="E40" s="8">
        <v>9</v>
      </c>
      <c r="F40" s="11">
        <v>10</v>
      </c>
      <c r="G40" s="11">
        <v>20</v>
      </c>
      <c r="H40" s="11">
        <v>20</v>
      </c>
      <c r="I40" s="11">
        <v>100</v>
      </c>
      <c r="J40" s="11">
        <f t="shared" si="14"/>
        <v>500</v>
      </c>
      <c r="K40" s="10">
        <f t="shared" si="15"/>
        <v>26.666666666666668</v>
      </c>
      <c r="L40" s="9">
        <f t="shared" si="16"/>
        <v>1.0125E-5</v>
      </c>
      <c r="M40" s="1">
        <f t="shared" si="17"/>
        <v>0.26608269391300143</v>
      </c>
      <c r="N40" s="1">
        <f t="shared" si="18"/>
        <v>3.6255132793047935E-2</v>
      </c>
      <c r="O40" s="10">
        <f t="shared" si="19"/>
        <v>15.032920560056578</v>
      </c>
      <c r="P40" s="1">
        <f t="shared" si="20"/>
        <v>2.6666666666666665</v>
      </c>
      <c r="Q40" s="1">
        <f t="shared" si="21"/>
        <v>4.4770407726617192</v>
      </c>
      <c r="R40" s="1">
        <f t="shared" si="22"/>
        <v>0.2</v>
      </c>
      <c r="S40" s="1">
        <f t="shared" si="23"/>
        <v>0.31758811392215658</v>
      </c>
      <c r="T40" s="9">
        <f t="shared" si="24"/>
        <v>4.0000000000000002E-4</v>
      </c>
      <c r="U40" s="1">
        <f t="shared" si="25"/>
        <v>0.52877418884641014</v>
      </c>
      <c r="V40" s="9">
        <f t="shared" si="26"/>
        <v>7.7794623490264108E-6</v>
      </c>
      <c r="W40" s="9">
        <f t="shared" si="27"/>
        <v>0.21645053874045384</v>
      </c>
      <c r="X40" s="9"/>
      <c r="Y40" s="9"/>
      <c r="Z40" s="9"/>
      <c r="AA40" s="1"/>
      <c r="AB40" s="1"/>
    </row>
    <row r="41" spans="2:32" x14ac:dyDescent="0.25">
      <c r="D41" s="11"/>
      <c r="E41" s="8">
        <v>10</v>
      </c>
      <c r="F41" s="11">
        <v>12</v>
      </c>
      <c r="G41" s="11">
        <v>20</v>
      </c>
      <c r="H41" s="11">
        <v>20</v>
      </c>
      <c r="I41" s="11">
        <v>100</v>
      </c>
      <c r="J41" s="11">
        <f t="shared" si="14"/>
        <v>500</v>
      </c>
      <c r="K41" s="10">
        <f t="shared" si="15"/>
        <v>26.666666666666668</v>
      </c>
      <c r="L41" s="9">
        <f t="shared" si="16"/>
        <v>1.4580000000000001E-5</v>
      </c>
      <c r="M41" s="1">
        <f t="shared" si="17"/>
        <v>0.22173557826083454</v>
      </c>
      <c r="N41" s="1">
        <f t="shared" si="18"/>
        <v>3.4189240376476929E-2</v>
      </c>
      <c r="O41" s="10">
        <f t="shared" si="19"/>
        <v>15.032920560056578</v>
      </c>
      <c r="P41" s="1">
        <f t="shared" si="20"/>
        <v>2.2222222222222223</v>
      </c>
      <c r="Q41" s="1">
        <f t="shared" si="21"/>
        <v>4.0869603700953032</v>
      </c>
      <c r="R41" s="1">
        <f t="shared" si="22"/>
        <v>0.2</v>
      </c>
      <c r="S41" s="1">
        <f t="shared" si="23"/>
        <v>0.31758811392215658</v>
      </c>
      <c r="T41" s="9">
        <f t="shared" si="24"/>
        <v>4.0000000000000002E-4</v>
      </c>
      <c r="U41" s="1">
        <f t="shared" si="25"/>
        <v>0.52877418884641014</v>
      </c>
      <c r="V41" s="9">
        <f t="shared" si="26"/>
        <v>7.7794623490264108E-6</v>
      </c>
      <c r="W41" s="9">
        <f t="shared" si="27"/>
        <v>0.21645053874045384</v>
      </c>
      <c r="X41" s="9"/>
      <c r="Y41" s="9"/>
      <c r="Z41" s="9"/>
      <c r="AA41" s="1"/>
      <c r="AB41" s="1"/>
    </row>
    <row r="42" spans="2:32" x14ac:dyDescent="0.25">
      <c r="D42" s="11"/>
      <c r="E42" s="8">
        <v>11</v>
      </c>
      <c r="F42" s="11">
        <v>15</v>
      </c>
      <c r="G42" s="11">
        <v>20</v>
      </c>
      <c r="H42" s="11">
        <v>20</v>
      </c>
      <c r="I42" s="11">
        <v>100</v>
      </c>
      <c r="J42" s="11">
        <f t="shared" si="14"/>
        <v>500</v>
      </c>
      <c r="K42" s="10">
        <f t="shared" si="15"/>
        <v>26.666666666666668</v>
      </c>
      <c r="L42" s="9">
        <f t="shared" si="16"/>
        <v>2.2781250000000001E-5</v>
      </c>
      <c r="M42" s="1">
        <f t="shared" si="17"/>
        <v>0.17738846260866761</v>
      </c>
      <c r="N42" s="1">
        <f t="shared" si="18"/>
        <v>3.2346093121524103E-2</v>
      </c>
      <c r="O42" s="10">
        <f t="shared" si="19"/>
        <v>15.032920560056578</v>
      </c>
      <c r="P42" s="1">
        <f t="shared" si="20"/>
        <v>1.7777777777777777</v>
      </c>
      <c r="Q42" s="1">
        <f t="shared" si="21"/>
        <v>3.6554884835523183</v>
      </c>
      <c r="R42" s="1">
        <f t="shared" si="22"/>
        <v>0.2</v>
      </c>
      <c r="S42" s="1">
        <f t="shared" si="23"/>
        <v>0.31758811392215658</v>
      </c>
      <c r="T42" s="9">
        <f t="shared" si="24"/>
        <v>4.0000000000000002E-4</v>
      </c>
      <c r="U42" s="1">
        <f t="shared" si="25"/>
        <v>0.52877418884641014</v>
      </c>
      <c r="V42" s="9">
        <f t="shared" si="26"/>
        <v>7.7794623490264108E-6</v>
      </c>
      <c r="W42" s="9">
        <f t="shared" si="27"/>
        <v>0.21645053874045384</v>
      </c>
      <c r="X42" s="9"/>
      <c r="Y42" s="9"/>
      <c r="Z42" s="9"/>
      <c r="AA42" s="1"/>
      <c r="AB42" s="1"/>
    </row>
    <row r="43" spans="2:32" x14ac:dyDescent="0.25">
      <c r="D43" s="11"/>
      <c r="E43" s="8">
        <v>12</v>
      </c>
      <c r="F43" s="11">
        <v>18</v>
      </c>
      <c r="G43" s="11">
        <v>20</v>
      </c>
      <c r="H43" s="11">
        <v>20</v>
      </c>
      <c r="I43" s="11">
        <v>100</v>
      </c>
      <c r="J43" s="11">
        <f t="shared" si="14"/>
        <v>500</v>
      </c>
      <c r="K43" s="10">
        <f t="shared" si="15"/>
        <v>26.666666666666668</v>
      </c>
      <c r="L43" s="9">
        <f t="shared" si="16"/>
        <v>3.2805000000000002E-5</v>
      </c>
      <c r="M43" s="1">
        <f t="shared" si="17"/>
        <v>0.14782371884055634</v>
      </c>
      <c r="N43" s="1">
        <f t="shared" si="18"/>
        <v>3.122390282336629E-2</v>
      </c>
      <c r="O43" s="10">
        <f t="shared" si="19"/>
        <v>15.032920560056578</v>
      </c>
      <c r="P43" s="1">
        <f t="shared" si="20"/>
        <v>1.4814814814814814</v>
      </c>
      <c r="Q43" s="1">
        <f t="shared" si="21"/>
        <v>3.3369891685699282</v>
      </c>
      <c r="R43" s="1">
        <f t="shared" si="22"/>
        <v>0.2</v>
      </c>
      <c r="S43" s="1">
        <f t="shared" si="23"/>
        <v>0.31758811392215658</v>
      </c>
      <c r="T43" s="9">
        <f t="shared" si="24"/>
        <v>4.0000000000000002E-4</v>
      </c>
      <c r="U43" s="1">
        <f t="shared" si="25"/>
        <v>0.52877418884641003</v>
      </c>
      <c r="V43" s="9">
        <f t="shared" si="26"/>
        <v>7.7794623490264108E-6</v>
      </c>
      <c r="W43" s="9">
        <f t="shared" si="27"/>
        <v>0.21645053874045384</v>
      </c>
      <c r="X43" s="9"/>
      <c r="Y43" s="9"/>
      <c r="Z43" s="9"/>
      <c r="AA43" s="1"/>
      <c r="AB43" s="1"/>
    </row>
    <row r="44" spans="2:32" x14ac:dyDescent="0.25">
      <c r="D44" s="11"/>
      <c r="E44" s="8">
        <v>13</v>
      </c>
      <c r="F44" s="11">
        <v>20</v>
      </c>
      <c r="G44" s="11">
        <v>20</v>
      </c>
      <c r="H44" s="11">
        <v>20</v>
      </c>
      <c r="I44" s="11">
        <v>100</v>
      </c>
      <c r="J44" s="11">
        <f t="shared" si="14"/>
        <v>500</v>
      </c>
      <c r="K44" s="10">
        <f t="shared" si="15"/>
        <v>26.666666666666668</v>
      </c>
      <c r="L44" s="9">
        <f t="shared" si="16"/>
        <v>4.0500000000000002E-5</v>
      </c>
      <c r="M44" s="1">
        <f t="shared" si="17"/>
        <v>0.13304134695650072</v>
      </c>
      <c r="N44" s="1">
        <f t="shared" si="18"/>
        <v>3.0691509102412855E-2</v>
      </c>
      <c r="O44" s="10">
        <f t="shared" si="19"/>
        <v>15.032920560056578</v>
      </c>
      <c r="P44" s="1">
        <f t="shared" si="20"/>
        <v>1.3333333333333333</v>
      </c>
      <c r="Q44" s="1">
        <f t="shared" si="21"/>
        <v>3.1657458899977615</v>
      </c>
      <c r="R44" s="1">
        <f t="shared" si="22"/>
        <v>0.2</v>
      </c>
      <c r="S44" s="1">
        <f t="shared" si="23"/>
        <v>0.31758811392215658</v>
      </c>
      <c r="T44" s="9">
        <f t="shared" si="24"/>
        <v>4.0000000000000002E-4</v>
      </c>
      <c r="U44" s="1">
        <f t="shared" si="25"/>
        <v>0.52877418884641014</v>
      </c>
      <c r="V44" s="9">
        <f t="shared" si="26"/>
        <v>7.7794623490264108E-6</v>
      </c>
      <c r="W44" s="9">
        <f t="shared" si="27"/>
        <v>0.21645053874045384</v>
      </c>
      <c r="X44" s="9"/>
      <c r="Y44" s="9"/>
      <c r="Z44" s="9"/>
      <c r="AA44" s="1"/>
      <c r="AB44" s="1"/>
    </row>
    <row r="45" spans="2:32" x14ac:dyDescent="0.25">
      <c r="D45" s="11"/>
      <c r="E45" s="8">
        <v>14</v>
      </c>
      <c r="F45" s="11">
        <v>24</v>
      </c>
      <c r="G45" s="11">
        <v>20</v>
      </c>
      <c r="H45" s="11">
        <v>20</v>
      </c>
      <c r="I45" s="11">
        <v>100</v>
      </c>
      <c r="J45" s="11">
        <f t="shared" si="14"/>
        <v>500</v>
      </c>
      <c r="K45" s="10">
        <f t="shared" si="15"/>
        <v>26.666666666666668</v>
      </c>
      <c r="L45" s="9">
        <f t="shared" si="16"/>
        <v>5.8320000000000004E-5</v>
      </c>
      <c r="M45" s="1">
        <f t="shared" si="17"/>
        <v>0.11086778913041727</v>
      </c>
      <c r="N45" s="1">
        <f t="shared" si="18"/>
        <v>2.9926111174486542E-2</v>
      </c>
      <c r="O45" s="10">
        <f t="shared" si="19"/>
        <v>15.032920560056578</v>
      </c>
      <c r="P45" s="1">
        <f t="shared" si="20"/>
        <v>1.1111111111111112</v>
      </c>
      <c r="Q45" s="1">
        <f t="shared" si="21"/>
        <v>2.8899173921350707</v>
      </c>
      <c r="R45" s="1">
        <f t="shared" si="22"/>
        <v>0.2</v>
      </c>
      <c r="S45" s="1">
        <f t="shared" si="23"/>
        <v>0.31758811392215658</v>
      </c>
      <c r="T45" s="9">
        <f t="shared" si="24"/>
        <v>4.0000000000000002E-4</v>
      </c>
      <c r="U45" s="1">
        <f t="shared" si="25"/>
        <v>0.52877418884641014</v>
      </c>
      <c r="V45" s="9">
        <f t="shared" si="26"/>
        <v>7.7794623490264108E-6</v>
      </c>
      <c r="W45" s="9">
        <f t="shared" si="27"/>
        <v>0.21645053874045384</v>
      </c>
      <c r="X45" s="9"/>
      <c r="Y45" s="9"/>
      <c r="Z45" s="9"/>
      <c r="AA45" s="1"/>
      <c r="AB45" s="1"/>
    </row>
    <row r="46" spans="2:32" x14ac:dyDescent="0.25">
      <c r="D46" s="11"/>
      <c r="E46" s="8">
        <v>43</v>
      </c>
      <c r="F46" s="11">
        <v>9</v>
      </c>
      <c r="G46" s="11">
        <v>20</v>
      </c>
      <c r="H46" s="11">
        <v>20</v>
      </c>
      <c r="I46" s="11">
        <v>170</v>
      </c>
      <c r="J46" s="11">
        <f t="shared" si="14"/>
        <v>1445</v>
      </c>
      <c r="K46" s="10">
        <f t="shared" si="15"/>
        <v>26.666666666666668</v>
      </c>
      <c r="L46" s="9">
        <f t="shared" si="16"/>
        <v>8.2012500000000005E-6</v>
      </c>
      <c r="M46" s="1">
        <f t="shared" si="17"/>
        <v>0.29564743768111268</v>
      </c>
      <c r="N46" s="1">
        <f t="shared" si="18"/>
        <v>2.2221716805889604E-2</v>
      </c>
      <c r="O46" s="10">
        <f t="shared" si="19"/>
        <v>15.032920560056578</v>
      </c>
      <c r="P46" s="1">
        <f t="shared" si="20"/>
        <v>2.9629629629629628</v>
      </c>
      <c r="Q46" s="1">
        <f t="shared" si="21"/>
        <v>4.7192153396837107</v>
      </c>
      <c r="R46" s="1">
        <f t="shared" si="22"/>
        <v>0.11764705882352941</v>
      </c>
      <c r="S46" s="1">
        <f t="shared" si="23"/>
        <v>0.24357896425236419</v>
      </c>
      <c r="T46" s="9">
        <f t="shared" si="24"/>
        <v>4.0000000000000002E-4</v>
      </c>
      <c r="U46" s="1">
        <f t="shared" si="25"/>
        <v>0.3110436404978883</v>
      </c>
      <c r="V46" s="9">
        <f t="shared" si="26"/>
        <v>5.2533913470159696E-6</v>
      </c>
      <c r="W46" s="9">
        <f t="shared" si="27"/>
        <v>0.16779844613544864</v>
      </c>
      <c r="X46" s="9"/>
      <c r="Y46" s="9"/>
      <c r="Z46" s="9"/>
      <c r="AA46" s="1"/>
      <c r="AB46" s="1"/>
    </row>
    <row r="47" spans="2:32" x14ac:dyDescent="0.25">
      <c r="D47" s="11"/>
      <c r="E47" s="8">
        <v>44</v>
      </c>
      <c r="F47" s="11">
        <v>10</v>
      </c>
      <c r="G47" s="11">
        <v>20</v>
      </c>
      <c r="H47" s="11">
        <v>20</v>
      </c>
      <c r="I47" s="11">
        <v>170</v>
      </c>
      <c r="J47" s="11">
        <f t="shared" si="14"/>
        <v>1445</v>
      </c>
      <c r="K47" s="10">
        <f t="shared" si="15"/>
        <v>26.666666666666668</v>
      </c>
      <c r="L47" s="9">
        <f t="shared" si="16"/>
        <v>1.0125E-5</v>
      </c>
      <c r="M47" s="1">
        <f t="shared" si="17"/>
        <v>0.26608269391300143</v>
      </c>
      <c r="N47" s="1">
        <f t="shared" si="18"/>
        <v>2.1326548701792906E-2</v>
      </c>
      <c r="O47" s="10">
        <f t="shared" si="19"/>
        <v>15.032920560056578</v>
      </c>
      <c r="P47" s="1">
        <f t="shared" si="20"/>
        <v>2.6666666666666665</v>
      </c>
      <c r="Q47" s="1">
        <f t="shared" si="21"/>
        <v>4.4770407726617192</v>
      </c>
      <c r="R47" s="1">
        <f t="shared" si="22"/>
        <v>0.11764705882352941</v>
      </c>
      <c r="S47" s="1">
        <f t="shared" si="23"/>
        <v>0.24357896425236419</v>
      </c>
      <c r="T47" s="9">
        <f t="shared" si="24"/>
        <v>4.0000000000000002E-4</v>
      </c>
      <c r="U47" s="1">
        <f t="shared" si="25"/>
        <v>0.31104364049788835</v>
      </c>
      <c r="V47" s="9">
        <f t="shared" si="26"/>
        <v>5.2533913470159713E-6</v>
      </c>
      <c r="W47" s="9">
        <f t="shared" si="27"/>
        <v>0.16779844613544867</v>
      </c>
      <c r="X47" s="9"/>
      <c r="Y47" s="9"/>
      <c r="Z47" s="9"/>
      <c r="AA47" s="1"/>
      <c r="AB47" s="1"/>
    </row>
    <row r="48" spans="2:32" x14ac:dyDescent="0.25">
      <c r="B48" s="1"/>
      <c r="D48" s="11"/>
      <c r="E48" s="8">
        <v>45</v>
      </c>
      <c r="F48" s="11">
        <v>12</v>
      </c>
      <c r="G48" s="11">
        <v>20</v>
      </c>
      <c r="H48" s="11">
        <v>20</v>
      </c>
      <c r="I48" s="11">
        <v>170</v>
      </c>
      <c r="J48" s="11">
        <f t="shared" si="14"/>
        <v>1445</v>
      </c>
      <c r="K48" s="10">
        <f t="shared" si="15"/>
        <v>26.666666666666668</v>
      </c>
      <c r="L48" s="9">
        <f t="shared" si="16"/>
        <v>1.4580000000000001E-5</v>
      </c>
      <c r="M48" s="1">
        <f t="shared" si="17"/>
        <v>0.22173557826083454</v>
      </c>
      <c r="N48" s="1">
        <f t="shared" si="18"/>
        <v>2.0111317868515839E-2</v>
      </c>
      <c r="O48" s="10">
        <f t="shared" si="19"/>
        <v>15.032920560056578</v>
      </c>
      <c r="P48" s="1">
        <f t="shared" si="20"/>
        <v>2.2222222222222223</v>
      </c>
      <c r="Q48" s="1">
        <f t="shared" si="21"/>
        <v>4.0869603700953032</v>
      </c>
      <c r="R48" s="1">
        <f t="shared" si="22"/>
        <v>0.11764705882352941</v>
      </c>
      <c r="S48" s="1">
        <f t="shared" si="23"/>
        <v>0.24357896425236419</v>
      </c>
      <c r="T48" s="9">
        <f t="shared" si="24"/>
        <v>4.0000000000000002E-4</v>
      </c>
      <c r="U48" s="1">
        <f t="shared" si="25"/>
        <v>0.31104364049788835</v>
      </c>
      <c r="V48" s="9">
        <f t="shared" si="26"/>
        <v>5.2533913470159713E-6</v>
      </c>
      <c r="W48" s="9">
        <f t="shared" si="27"/>
        <v>0.16779844613544867</v>
      </c>
      <c r="X48" s="9"/>
      <c r="Y48" s="9"/>
      <c r="Z48" s="9"/>
      <c r="AA48" s="1"/>
      <c r="AB48" s="1"/>
    </row>
    <row r="49" spans="4:26" s="1" customFormat="1" x14ac:dyDescent="0.25">
      <c r="D49" s="11"/>
      <c r="E49" s="8">
        <v>46</v>
      </c>
      <c r="F49" s="11">
        <v>15</v>
      </c>
      <c r="G49" s="11">
        <v>20</v>
      </c>
      <c r="H49" s="11">
        <v>20</v>
      </c>
      <c r="I49" s="11">
        <v>170</v>
      </c>
      <c r="J49" s="11">
        <f t="shared" si="14"/>
        <v>1445</v>
      </c>
      <c r="K49" s="10">
        <f t="shared" si="15"/>
        <v>26.666666666666668</v>
      </c>
      <c r="L49" s="9">
        <f t="shared" si="16"/>
        <v>2.2781250000000001E-5</v>
      </c>
      <c r="M49" s="1">
        <f t="shared" si="17"/>
        <v>0.17738846260866761</v>
      </c>
      <c r="N49" s="1">
        <f t="shared" si="18"/>
        <v>1.9027113600896532E-2</v>
      </c>
      <c r="O49" s="10">
        <f t="shared" si="19"/>
        <v>15.032920560056578</v>
      </c>
      <c r="P49" s="1">
        <f t="shared" si="20"/>
        <v>1.7777777777777777</v>
      </c>
      <c r="Q49" s="1">
        <f t="shared" si="21"/>
        <v>3.6554884835523183</v>
      </c>
      <c r="R49" s="1">
        <f t="shared" si="22"/>
        <v>0.11764705882352941</v>
      </c>
      <c r="S49" s="1">
        <f t="shared" si="23"/>
        <v>0.24357896425236419</v>
      </c>
      <c r="T49" s="9">
        <f t="shared" si="24"/>
        <v>4.0000000000000002E-4</v>
      </c>
      <c r="U49" s="1">
        <f t="shared" si="25"/>
        <v>0.31104364049788835</v>
      </c>
      <c r="V49" s="9">
        <f t="shared" si="26"/>
        <v>5.2533913470159713E-6</v>
      </c>
      <c r="W49" s="9">
        <f t="shared" si="27"/>
        <v>0.16779844613544867</v>
      </c>
      <c r="X49" s="9"/>
      <c r="Y49" s="9"/>
      <c r="Z49" s="9"/>
    </row>
    <row r="50" spans="4:26" s="1" customFormat="1" x14ac:dyDescent="0.25">
      <c r="D50" s="11"/>
      <c r="E50" s="8">
        <v>47</v>
      </c>
      <c r="F50" s="11">
        <v>18</v>
      </c>
      <c r="G50" s="11">
        <v>20</v>
      </c>
      <c r="H50" s="11">
        <v>20</v>
      </c>
      <c r="I50" s="11">
        <v>170</v>
      </c>
      <c r="J50" s="11">
        <f t="shared" si="14"/>
        <v>1445</v>
      </c>
      <c r="K50" s="10">
        <f t="shared" si="15"/>
        <v>26.666666666666668</v>
      </c>
      <c r="L50" s="9">
        <f t="shared" si="16"/>
        <v>3.2805000000000002E-5</v>
      </c>
      <c r="M50" s="1">
        <f t="shared" si="17"/>
        <v>0.14782371884055634</v>
      </c>
      <c r="N50" s="1">
        <f t="shared" si="18"/>
        <v>1.8367001660803701E-2</v>
      </c>
      <c r="O50" s="10">
        <f t="shared" si="19"/>
        <v>15.032920560056578</v>
      </c>
      <c r="P50" s="1">
        <f t="shared" si="20"/>
        <v>1.4814814814814814</v>
      </c>
      <c r="Q50" s="1">
        <f t="shared" si="21"/>
        <v>3.3369891685699282</v>
      </c>
      <c r="R50" s="1">
        <f t="shared" si="22"/>
        <v>0.11764705882352941</v>
      </c>
      <c r="S50" s="1">
        <f t="shared" si="23"/>
        <v>0.24357896425236419</v>
      </c>
      <c r="T50" s="9">
        <f t="shared" si="24"/>
        <v>4.0000000000000002E-4</v>
      </c>
      <c r="U50" s="1">
        <f t="shared" si="25"/>
        <v>0.3110436404978883</v>
      </c>
      <c r="V50" s="9">
        <f t="shared" si="26"/>
        <v>5.2533913470159696E-6</v>
      </c>
      <c r="W50" s="9">
        <f t="shared" si="27"/>
        <v>0.16779844613544864</v>
      </c>
      <c r="X50" s="9"/>
      <c r="Y50" s="9"/>
      <c r="Z50" s="9"/>
    </row>
    <row r="51" spans="4:26" s="1" customFormat="1" x14ac:dyDescent="0.25">
      <c r="D51" s="11"/>
      <c r="E51" s="8">
        <v>48</v>
      </c>
      <c r="F51" s="11">
        <v>20</v>
      </c>
      <c r="G51" s="11">
        <v>20</v>
      </c>
      <c r="H51" s="11">
        <v>20</v>
      </c>
      <c r="I51" s="11">
        <v>170</v>
      </c>
      <c r="J51" s="11">
        <f t="shared" si="14"/>
        <v>1445</v>
      </c>
      <c r="K51" s="10">
        <f t="shared" si="15"/>
        <v>26.666666666666668</v>
      </c>
      <c r="L51" s="9">
        <f t="shared" si="16"/>
        <v>4.0500000000000002E-5</v>
      </c>
      <c r="M51" s="1">
        <f t="shared" si="17"/>
        <v>0.13304134695650072</v>
      </c>
      <c r="N51" s="1">
        <f t="shared" si="18"/>
        <v>1.8053828883772265E-2</v>
      </c>
      <c r="O51" s="10">
        <f t="shared" si="19"/>
        <v>15.032920560056578</v>
      </c>
      <c r="P51" s="1">
        <f t="shared" si="20"/>
        <v>1.3333333333333333</v>
      </c>
      <c r="Q51" s="1">
        <f t="shared" si="21"/>
        <v>3.1657458899977615</v>
      </c>
      <c r="R51" s="1">
        <f t="shared" si="22"/>
        <v>0.11764705882352941</v>
      </c>
      <c r="S51" s="1">
        <f t="shared" si="23"/>
        <v>0.24357896425236419</v>
      </c>
      <c r="T51" s="9">
        <f t="shared" si="24"/>
        <v>4.0000000000000002E-4</v>
      </c>
      <c r="U51" s="1">
        <f t="shared" si="25"/>
        <v>0.31104364049788835</v>
      </c>
      <c r="V51" s="9">
        <f t="shared" si="26"/>
        <v>5.2533913470159713E-6</v>
      </c>
      <c r="W51" s="9">
        <f t="shared" si="27"/>
        <v>0.16779844613544867</v>
      </c>
      <c r="X51" s="9"/>
      <c r="Y51" s="9"/>
      <c r="Z51" s="9"/>
    </row>
    <row r="52" spans="4:26" s="1" customFormat="1" x14ac:dyDescent="0.25">
      <c r="D52" s="11"/>
      <c r="E52" s="8">
        <v>49</v>
      </c>
      <c r="F52" s="11">
        <v>24</v>
      </c>
      <c r="G52" s="11">
        <v>20</v>
      </c>
      <c r="H52" s="11">
        <v>20</v>
      </c>
      <c r="I52" s="11">
        <v>170</v>
      </c>
      <c r="J52" s="11">
        <f t="shared" si="14"/>
        <v>1445</v>
      </c>
      <c r="K52" s="10">
        <f t="shared" si="15"/>
        <v>26.666666666666668</v>
      </c>
      <c r="L52" s="9">
        <f t="shared" si="16"/>
        <v>5.8320000000000004E-5</v>
      </c>
      <c r="M52" s="1">
        <f t="shared" si="17"/>
        <v>0.11086778913041727</v>
      </c>
      <c r="N52" s="1">
        <f t="shared" si="18"/>
        <v>1.7603594808521493E-2</v>
      </c>
      <c r="O52" s="10">
        <f t="shared" si="19"/>
        <v>15.032920560056578</v>
      </c>
      <c r="P52" s="1">
        <f t="shared" si="20"/>
        <v>1.1111111111111112</v>
      </c>
      <c r="Q52" s="1">
        <f t="shared" si="21"/>
        <v>2.8899173921350707</v>
      </c>
      <c r="R52" s="1">
        <f t="shared" si="22"/>
        <v>0.11764705882352941</v>
      </c>
      <c r="S52" s="1">
        <f t="shared" si="23"/>
        <v>0.24357896425236419</v>
      </c>
      <c r="T52" s="9">
        <f t="shared" si="24"/>
        <v>4.0000000000000002E-4</v>
      </c>
      <c r="U52" s="1">
        <f t="shared" si="25"/>
        <v>0.31104364049788835</v>
      </c>
      <c r="V52" s="9">
        <f t="shared" si="26"/>
        <v>5.2533913470159713E-6</v>
      </c>
      <c r="W52" s="9">
        <f t="shared" si="27"/>
        <v>0.16779844613544867</v>
      </c>
      <c r="X52" s="9"/>
      <c r="Y52" s="9"/>
      <c r="Z52" s="9"/>
    </row>
    <row r="53" spans="4:26" s="1" customFormat="1" x14ac:dyDescent="0.25">
      <c r="D53" s="11"/>
      <c r="E53" s="8">
        <v>78</v>
      </c>
      <c r="F53" s="11">
        <v>9</v>
      </c>
      <c r="G53" s="11">
        <v>20</v>
      </c>
      <c r="H53" s="11">
        <v>20</v>
      </c>
      <c r="I53" s="11">
        <v>250</v>
      </c>
      <c r="J53" s="11">
        <f t="shared" si="14"/>
        <v>3125</v>
      </c>
      <c r="K53" s="10">
        <f t="shared" si="15"/>
        <v>26.666666666666668</v>
      </c>
      <c r="L53" s="9">
        <f t="shared" si="16"/>
        <v>8.2012500000000005E-6</v>
      </c>
      <c r="M53" s="1">
        <f t="shared" si="17"/>
        <v>0.29564743768111268</v>
      </c>
      <c r="N53" s="1">
        <f t="shared" si="18"/>
        <v>1.5110767428004931E-2</v>
      </c>
      <c r="O53" s="10">
        <f t="shared" si="19"/>
        <v>15.032920560056578</v>
      </c>
      <c r="P53" s="1">
        <f t="shared" si="20"/>
        <v>2.9629629629629628</v>
      </c>
      <c r="Q53" s="1">
        <f t="shared" si="21"/>
        <v>4.7192153396837107</v>
      </c>
      <c r="R53" s="1">
        <f t="shared" si="22"/>
        <v>0.08</v>
      </c>
      <c r="S53" s="1">
        <f t="shared" si="23"/>
        <v>0.20086035955820919</v>
      </c>
      <c r="T53" s="9">
        <f t="shared" si="24"/>
        <v>4.0000000000000002E-4</v>
      </c>
      <c r="U53" s="1">
        <f t="shared" si="25"/>
        <v>0.21150967553856401</v>
      </c>
      <c r="V53" s="9">
        <f t="shared" si="26"/>
        <v>3.782830082306994E-6</v>
      </c>
      <c r="W53" s="9">
        <f t="shared" si="27"/>
        <v>0.12794790562768693</v>
      </c>
      <c r="X53" s="9"/>
      <c r="Y53" s="9"/>
      <c r="Z53" s="9"/>
    </row>
    <row r="54" spans="4:26" s="1" customFormat="1" x14ac:dyDescent="0.25">
      <c r="D54" s="11"/>
      <c r="E54" s="8">
        <v>79</v>
      </c>
      <c r="F54" s="11">
        <v>10</v>
      </c>
      <c r="G54" s="11">
        <v>20</v>
      </c>
      <c r="H54" s="11">
        <v>20</v>
      </c>
      <c r="I54" s="11">
        <v>250</v>
      </c>
      <c r="J54" s="11">
        <f t="shared" si="14"/>
        <v>3125</v>
      </c>
      <c r="K54" s="10">
        <f t="shared" si="15"/>
        <v>26.666666666666668</v>
      </c>
      <c r="L54" s="9">
        <f t="shared" si="16"/>
        <v>1.0125E-5</v>
      </c>
      <c r="M54" s="1">
        <f t="shared" si="17"/>
        <v>0.26608269391300143</v>
      </c>
      <c r="N54" s="1">
        <f t="shared" si="18"/>
        <v>1.4502053117219176E-2</v>
      </c>
      <c r="O54" s="10">
        <f t="shared" si="19"/>
        <v>15.032920560056578</v>
      </c>
      <c r="P54" s="1">
        <f t="shared" si="20"/>
        <v>2.6666666666666665</v>
      </c>
      <c r="Q54" s="1">
        <f t="shared" si="21"/>
        <v>4.4770407726617192</v>
      </c>
      <c r="R54" s="1">
        <f t="shared" si="22"/>
        <v>0.08</v>
      </c>
      <c r="S54" s="1">
        <f t="shared" si="23"/>
        <v>0.20086035955820919</v>
      </c>
      <c r="T54" s="9">
        <f t="shared" si="24"/>
        <v>4.0000000000000002E-4</v>
      </c>
      <c r="U54" s="1">
        <f t="shared" si="25"/>
        <v>0.21150967553856403</v>
      </c>
      <c r="V54" s="9">
        <f t="shared" si="26"/>
        <v>3.7828300823069949E-6</v>
      </c>
      <c r="W54" s="9">
        <f t="shared" si="27"/>
        <v>0.12794790562768696</v>
      </c>
      <c r="X54" s="9"/>
      <c r="Y54" s="9"/>
      <c r="Z54" s="9"/>
    </row>
    <row r="55" spans="4:26" s="1" customFormat="1" x14ac:dyDescent="0.25">
      <c r="D55" s="11"/>
      <c r="E55" s="8">
        <v>80</v>
      </c>
      <c r="F55" s="11">
        <v>12</v>
      </c>
      <c r="G55" s="11">
        <v>20</v>
      </c>
      <c r="H55" s="11">
        <v>20</v>
      </c>
      <c r="I55" s="11">
        <v>250</v>
      </c>
      <c r="J55" s="11">
        <f t="shared" si="14"/>
        <v>3125</v>
      </c>
      <c r="K55" s="10">
        <f t="shared" si="15"/>
        <v>26.666666666666668</v>
      </c>
      <c r="L55" s="9">
        <f t="shared" si="16"/>
        <v>1.4580000000000001E-5</v>
      </c>
      <c r="M55" s="1">
        <f t="shared" si="17"/>
        <v>0.22173557826083454</v>
      </c>
      <c r="N55" s="1">
        <f t="shared" si="18"/>
        <v>1.3675696150590772E-2</v>
      </c>
      <c r="O55" s="10">
        <f t="shared" si="19"/>
        <v>15.032920560056578</v>
      </c>
      <c r="P55" s="1">
        <f t="shared" si="20"/>
        <v>2.2222222222222223</v>
      </c>
      <c r="Q55" s="1">
        <f t="shared" si="21"/>
        <v>4.0869603700953032</v>
      </c>
      <c r="R55" s="1">
        <f t="shared" si="22"/>
        <v>0.08</v>
      </c>
      <c r="S55" s="1">
        <f t="shared" si="23"/>
        <v>0.20086035955820919</v>
      </c>
      <c r="T55" s="9">
        <f t="shared" si="24"/>
        <v>4.0000000000000002E-4</v>
      </c>
      <c r="U55" s="1">
        <f t="shared" si="25"/>
        <v>0.21150967553856403</v>
      </c>
      <c r="V55" s="9">
        <f t="shared" si="26"/>
        <v>3.7828300823069949E-6</v>
      </c>
      <c r="W55" s="9">
        <f t="shared" si="27"/>
        <v>0.12794790562768696</v>
      </c>
      <c r="X55" s="9"/>
      <c r="Y55" s="9"/>
      <c r="Z55" s="9"/>
    </row>
    <row r="56" spans="4:26" s="1" customFormat="1" x14ac:dyDescent="0.25">
      <c r="D56" s="11"/>
      <c r="E56" s="8">
        <v>81</v>
      </c>
      <c r="F56" s="11">
        <v>15</v>
      </c>
      <c r="G56" s="11">
        <v>20</v>
      </c>
      <c r="H56" s="11">
        <v>20</v>
      </c>
      <c r="I56" s="11">
        <v>250</v>
      </c>
      <c r="J56" s="11">
        <f t="shared" si="14"/>
        <v>3125</v>
      </c>
      <c r="K56" s="10">
        <f t="shared" si="15"/>
        <v>26.666666666666668</v>
      </c>
      <c r="L56" s="9">
        <f t="shared" si="16"/>
        <v>2.2781250000000001E-5</v>
      </c>
      <c r="M56" s="1">
        <f t="shared" si="17"/>
        <v>0.17738846260866761</v>
      </c>
      <c r="N56" s="1">
        <f t="shared" si="18"/>
        <v>1.293843724860964E-2</v>
      </c>
      <c r="O56" s="10">
        <f t="shared" si="19"/>
        <v>15.032920560056578</v>
      </c>
      <c r="P56" s="1">
        <f t="shared" si="20"/>
        <v>1.7777777777777777</v>
      </c>
      <c r="Q56" s="1">
        <f t="shared" si="21"/>
        <v>3.6554884835523183</v>
      </c>
      <c r="R56" s="1">
        <f t="shared" si="22"/>
        <v>0.08</v>
      </c>
      <c r="S56" s="1">
        <f t="shared" si="23"/>
        <v>0.20086035955820919</v>
      </c>
      <c r="T56" s="9">
        <f t="shared" si="24"/>
        <v>4.0000000000000002E-4</v>
      </c>
      <c r="U56" s="1">
        <f t="shared" si="25"/>
        <v>0.21150967553856403</v>
      </c>
      <c r="V56" s="9">
        <f t="shared" si="26"/>
        <v>3.7828300823069949E-6</v>
      </c>
      <c r="W56" s="9">
        <f t="shared" si="27"/>
        <v>0.12794790562768696</v>
      </c>
      <c r="X56" s="9"/>
      <c r="Y56" s="9"/>
      <c r="Z56" s="9"/>
    </row>
    <row r="57" spans="4:26" s="1" customFormat="1" x14ac:dyDescent="0.25">
      <c r="D57" s="11"/>
      <c r="E57" s="8">
        <v>82</v>
      </c>
      <c r="F57" s="11">
        <v>18</v>
      </c>
      <c r="G57" s="11">
        <v>20</v>
      </c>
      <c r="H57" s="11">
        <v>20</v>
      </c>
      <c r="I57" s="11">
        <v>250</v>
      </c>
      <c r="J57" s="11">
        <f t="shared" si="14"/>
        <v>3125</v>
      </c>
      <c r="K57" s="10">
        <f t="shared" si="15"/>
        <v>26.666666666666668</v>
      </c>
      <c r="L57" s="9">
        <f t="shared" si="16"/>
        <v>3.2805000000000002E-5</v>
      </c>
      <c r="M57" s="1">
        <f t="shared" si="17"/>
        <v>0.14782371884055634</v>
      </c>
      <c r="N57" s="1">
        <f t="shared" si="18"/>
        <v>1.2489561129346516E-2</v>
      </c>
      <c r="O57" s="10">
        <f t="shared" si="19"/>
        <v>15.032920560056578</v>
      </c>
      <c r="P57" s="1">
        <f t="shared" si="20"/>
        <v>1.4814814814814814</v>
      </c>
      <c r="Q57" s="1">
        <f t="shared" si="21"/>
        <v>3.3369891685699282</v>
      </c>
      <c r="R57" s="1">
        <f t="shared" si="22"/>
        <v>0.08</v>
      </c>
      <c r="S57" s="1">
        <f t="shared" si="23"/>
        <v>0.20086035955820919</v>
      </c>
      <c r="T57" s="9">
        <f t="shared" si="24"/>
        <v>4.0000000000000002E-4</v>
      </c>
      <c r="U57" s="1">
        <f t="shared" si="25"/>
        <v>0.21150967553856401</v>
      </c>
      <c r="V57" s="9">
        <f t="shared" si="26"/>
        <v>3.782830082306994E-6</v>
      </c>
      <c r="W57" s="9">
        <f t="shared" si="27"/>
        <v>0.12794790562768693</v>
      </c>
      <c r="X57" s="9"/>
      <c r="Y57" s="9"/>
      <c r="Z57" s="9"/>
    </row>
    <row r="58" spans="4:26" s="1" customFormat="1" x14ac:dyDescent="0.25">
      <c r="D58" s="11"/>
      <c r="E58" s="8">
        <v>83</v>
      </c>
      <c r="F58" s="11">
        <v>20</v>
      </c>
      <c r="G58" s="11">
        <v>20</v>
      </c>
      <c r="H58" s="11">
        <v>20</v>
      </c>
      <c r="I58" s="11">
        <v>250</v>
      </c>
      <c r="J58" s="11">
        <f t="shared" si="14"/>
        <v>3125</v>
      </c>
      <c r="K58" s="10">
        <f t="shared" si="15"/>
        <v>26.666666666666668</v>
      </c>
      <c r="L58" s="9">
        <f t="shared" si="16"/>
        <v>4.0500000000000002E-5</v>
      </c>
      <c r="M58" s="1">
        <f t="shared" si="17"/>
        <v>0.13304134695650072</v>
      </c>
      <c r="N58" s="1">
        <f t="shared" si="18"/>
        <v>1.2276603640965139E-2</v>
      </c>
      <c r="O58" s="10">
        <f t="shared" si="19"/>
        <v>15.032920560056578</v>
      </c>
      <c r="P58" s="1">
        <f t="shared" si="20"/>
        <v>1.3333333333333333</v>
      </c>
      <c r="Q58" s="1">
        <f t="shared" si="21"/>
        <v>3.1657458899977615</v>
      </c>
      <c r="R58" s="1">
        <f t="shared" si="22"/>
        <v>0.08</v>
      </c>
      <c r="S58" s="1">
        <f t="shared" si="23"/>
        <v>0.20086035955820919</v>
      </c>
      <c r="T58" s="9">
        <f t="shared" si="24"/>
        <v>4.0000000000000002E-4</v>
      </c>
      <c r="U58" s="1">
        <f t="shared" si="25"/>
        <v>0.21150967553856403</v>
      </c>
      <c r="V58" s="9">
        <f t="shared" si="26"/>
        <v>3.7828300823069949E-6</v>
      </c>
      <c r="W58" s="9">
        <f t="shared" si="27"/>
        <v>0.12794790562768696</v>
      </c>
      <c r="X58" s="9"/>
      <c r="Y58" s="9"/>
      <c r="Z58" s="9"/>
    </row>
    <row r="59" spans="4:26" s="1" customFormat="1" x14ac:dyDescent="0.25">
      <c r="D59" s="11"/>
      <c r="E59" s="8">
        <v>84</v>
      </c>
      <c r="F59" s="11">
        <v>24</v>
      </c>
      <c r="G59" s="11">
        <v>20</v>
      </c>
      <c r="H59" s="11">
        <v>20</v>
      </c>
      <c r="I59" s="11">
        <v>250</v>
      </c>
      <c r="J59" s="11">
        <f t="shared" si="14"/>
        <v>3125</v>
      </c>
      <c r="K59" s="10">
        <f t="shared" si="15"/>
        <v>26.666666666666668</v>
      </c>
      <c r="L59" s="9">
        <f t="shared" si="16"/>
        <v>5.8320000000000004E-5</v>
      </c>
      <c r="M59" s="1">
        <f t="shared" si="17"/>
        <v>0.11086778913041727</v>
      </c>
      <c r="N59" s="1">
        <f t="shared" si="18"/>
        <v>1.1970444469794617E-2</v>
      </c>
      <c r="O59" s="10">
        <f t="shared" si="19"/>
        <v>15.032920560056578</v>
      </c>
      <c r="P59" s="1">
        <f t="shared" si="20"/>
        <v>1.1111111111111112</v>
      </c>
      <c r="Q59" s="1">
        <f t="shared" si="21"/>
        <v>2.8899173921350707</v>
      </c>
      <c r="R59" s="1">
        <f t="shared" si="22"/>
        <v>0.08</v>
      </c>
      <c r="S59" s="1">
        <f t="shared" si="23"/>
        <v>0.20086035955820919</v>
      </c>
      <c r="T59" s="9">
        <f t="shared" si="24"/>
        <v>4.0000000000000002E-4</v>
      </c>
      <c r="U59" s="1">
        <f t="shared" si="25"/>
        <v>0.21150967553856403</v>
      </c>
      <c r="V59" s="9">
        <f t="shared" si="26"/>
        <v>3.7828300823069949E-6</v>
      </c>
      <c r="W59" s="9">
        <f t="shared" si="27"/>
        <v>0.12794790562768696</v>
      </c>
      <c r="X59" s="9"/>
      <c r="Y59" s="9"/>
      <c r="Z59" s="9"/>
    </row>
    <row r="60" spans="4:26" s="1" customFormat="1" x14ac:dyDescent="0.25">
      <c r="D60" s="11"/>
      <c r="E60" s="8">
        <v>113</v>
      </c>
      <c r="F60" s="11">
        <v>9</v>
      </c>
      <c r="G60" s="11">
        <v>20</v>
      </c>
      <c r="H60" s="11">
        <v>20</v>
      </c>
      <c r="I60" s="11">
        <v>400</v>
      </c>
      <c r="J60" s="11">
        <f t="shared" si="14"/>
        <v>8000</v>
      </c>
      <c r="K60" s="10">
        <f t="shared" si="15"/>
        <v>26.666666666666668</v>
      </c>
      <c r="L60" s="9">
        <f t="shared" si="16"/>
        <v>8.2012500000000005E-6</v>
      </c>
      <c r="M60" s="1">
        <f t="shared" si="17"/>
        <v>0.29564743768111268</v>
      </c>
      <c r="N60" s="1">
        <f t="shared" si="18"/>
        <v>9.4442296425030822E-3</v>
      </c>
      <c r="O60" s="10">
        <f t="shared" si="19"/>
        <v>15.032920560056578</v>
      </c>
      <c r="P60" s="1">
        <f t="shared" si="20"/>
        <v>2.9629629629629628</v>
      </c>
      <c r="Q60" s="1">
        <f t="shared" si="21"/>
        <v>4.7192153396837107</v>
      </c>
      <c r="R60" s="1">
        <f t="shared" si="22"/>
        <v>0.05</v>
      </c>
      <c r="S60" s="1">
        <f t="shared" si="23"/>
        <v>0.15879405696107829</v>
      </c>
      <c r="T60" s="9">
        <f t="shared" si="24"/>
        <v>4.0000000000000002E-4</v>
      </c>
      <c r="U60" s="1">
        <f t="shared" si="25"/>
        <v>0.13219354721160251</v>
      </c>
      <c r="V60" s="9">
        <f t="shared" si="26"/>
        <v>2.4691196049881878E-6</v>
      </c>
      <c r="W60" s="9">
        <f t="shared" si="27"/>
        <v>8.7217523626949386E-2</v>
      </c>
      <c r="X60" s="9"/>
      <c r="Y60" s="9"/>
      <c r="Z60" s="9"/>
    </row>
    <row r="61" spans="4:26" s="1" customFormat="1" x14ac:dyDescent="0.25">
      <c r="D61" s="11"/>
      <c r="E61" s="8">
        <v>114</v>
      </c>
      <c r="F61" s="11">
        <v>10</v>
      </c>
      <c r="G61" s="11">
        <v>20</v>
      </c>
      <c r="H61" s="11">
        <v>20</v>
      </c>
      <c r="I61" s="11">
        <v>400</v>
      </c>
      <c r="J61" s="11">
        <f t="shared" si="14"/>
        <v>8000</v>
      </c>
      <c r="K61" s="10">
        <f t="shared" si="15"/>
        <v>26.666666666666668</v>
      </c>
      <c r="L61" s="9">
        <f t="shared" si="16"/>
        <v>1.0125E-5</v>
      </c>
      <c r="M61" s="1">
        <f t="shared" si="17"/>
        <v>0.26608269391300143</v>
      </c>
      <c r="N61" s="1">
        <f t="shared" si="18"/>
        <v>9.0637831982619838E-3</v>
      </c>
      <c r="O61" s="10">
        <f t="shared" si="19"/>
        <v>15.032920560056578</v>
      </c>
      <c r="P61" s="1">
        <f t="shared" si="20"/>
        <v>2.6666666666666665</v>
      </c>
      <c r="Q61" s="1">
        <f t="shared" si="21"/>
        <v>4.4770407726617192</v>
      </c>
      <c r="R61" s="1">
        <f t="shared" si="22"/>
        <v>0.05</v>
      </c>
      <c r="S61" s="1">
        <f t="shared" si="23"/>
        <v>0.15879405696107829</v>
      </c>
      <c r="T61" s="9">
        <f t="shared" si="24"/>
        <v>4.0000000000000002E-4</v>
      </c>
      <c r="U61" s="1">
        <f t="shared" si="25"/>
        <v>0.13219354721160254</v>
      </c>
      <c r="V61" s="9">
        <f t="shared" si="26"/>
        <v>2.4691196049881886E-6</v>
      </c>
      <c r="W61" s="9">
        <f t="shared" si="27"/>
        <v>8.7217523626949414E-2</v>
      </c>
      <c r="X61" s="9"/>
      <c r="Y61" s="9"/>
      <c r="Z61" s="9"/>
    </row>
    <row r="62" spans="4:26" s="1" customFormat="1" x14ac:dyDescent="0.25">
      <c r="D62" s="11"/>
      <c r="E62" s="8">
        <v>115</v>
      </c>
      <c r="F62" s="11">
        <v>12</v>
      </c>
      <c r="G62" s="11">
        <v>20</v>
      </c>
      <c r="H62" s="11">
        <v>20</v>
      </c>
      <c r="I62" s="11">
        <v>400</v>
      </c>
      <c r="J62" s="11">
        <f t="shared" si="14"/>
        <v>8000</v>
      </c>
      <c r="K62" s="10">
        <f t="shared" si="15"/>
        <v>26.666666666666668</v>
      </c>
      <c r="L62" s="9">
        <f t="shared" si="16"/>
        <v>1.4580000000000001E-5</v>
      </c>
      <c r="M62" s="1">
        <f t="shared" si="17"/>
        <v>0.22173557826083454</v>
      </c>
      <c r="N62" s="1">
        <f t="shared" si="18"/>
        <v>8.5473100941192322E-3</v>
      </c>
      <c r="O62" s="10">
        <f t="shared" si="19"/>
        <v>15.032920560056578</v>
      </c>
      <c r="P62" s="1">
        <f t="shared" si="20"/>
        <v>2.2222222222222223</v>
      </c>
      <c r="Q62" s="1">
        <f t="shared" si="21"/>
        <v>4.0869603700953032</v>
      </c>
      <c r="R62" s="1">
        <f t="shared" si="22"/>
        <v>0.05</v>
      </c>
      <c r="S62" s="1">
        <f t="shared" si="23"/>
        <v>0.15879405696107829</v>
      </c>
      <c r="T62" s="9">
        <f t="shared" si="24"/>
        <v>4.0000000000000002E-4</v>
      </c>
      <c r="U62" s="1">
        <f t="shared" si="25"/>
        <v>0.13219354721160254</v>
      </c>
      <c r="V62" s="9">
        <f t="shared" si="26"/>
        <v>2.4691196049881886E-6</v>
      </c>
      <c r="W62" s="9">
        <f t="shared" si="27"/>
        <v>8.7217523626949414E-2</v>
      </c>
      <c r="X62" s="9"/>
      <c r="Y62" s="9"/>
      <c r="Z62" s="9"/>
    </row>
    <row r="63" spans="4:26" s="1" customFormat="1" x14ac:dyDescent="0.25">
      <c r="D63" s="11"/>
      <c r="E63" s="8">
        <v>116</v>
      </c>
      <c r="F63" s="11">
        <v>15</v>
      </c>
      <c r="G63" s="11">
        <v>20</v>
      </c>
      <c r="H63" s="11">
        <v>20</v>
      </c>
      <c r="I63" s="11">
        <v>400</v>
      </c>
      <c r="J63" s="11">
        <f t="shared" si="14"/>
        <v>8000</v>
      </c>
      <c r="K63" s="10">
        <f t="shared" si="15"/>
        <v>26.666666666666668</v>
      </c>
      <c r="L63" s="9">
        <f t="shared" si="16"/>
        <v>2.2781250000000001E-5</v>
      </c>
      <c r="M63" s="1">
        <f t="shared" si="17"/>
        <v>0.17738846260866761</v>
      </c>
      <c r="N63" s="1">
        <f t="shared" si="18"/>
        <v>8.0865232803810257E-3</v>
      </c>
      <c r="O63" s="10">
        <f t="shared" si="19"/>
        <v>15.032920560056578</v>
      </c>
      <c r="P63" s="1">
        <f t="shared" si="20"/>
        <v>1.7777777777777777</v>
      </c>
      <c r="Q63" s="1">
        <f t="shared" si="21"/>
        <v>3.6554884835523183</v>
      </c>
      <c r="R63" s="1">
        <f t="shared" si="22"/>
        <v>0.05</v>
      </c>
      <c r="S63" s="1">
        <f t="shared" si="23"/>
        <v>0.15879405696107829</v>
      </c>
      <c r="T63" s="9">
        <f t="shared" si="24"/>
        <v>4.0000000000000002E-4</v>
      </c>
      <c r="U63" s="1">
        <f t="shared" si="25"/>
        <v>0.13219354721160254</v>
      </c>
      <c r="V63" s="9">
        <f t="shared" si="26"/>
        <v>2.4691196049881886E-6</v>
      </c>
      <c r="W63" s="9">
        <f t="shared" si="27"/>
        <v>8.7217523626949414E-2</v>
      </c>
      <c r="X63" s="9"/>
      <c r="Y63" s="9"/>
      <c r="Z63" s="9"/>
    </row>
    <row r="64" spans="4:26" s="1" customFormat="1" x14ac:dyDescent="0.25">
      <c r="D64" s="11"/>
      <c r="E64" s="8">
        <v>117</v>
      </c>
      <c r="F64" s="11">
        <v>18</v>
      </c>
      <c r="G64" s="11">
        <v>20</v>
      </c>
      <c r="H64" s="11">
        <v>20</v>
      </c>
      <c r="I64" s="11">
        <v>400</v>
      </c>
      <c r="J64" s="11">
        <f t="shared" si="14"/>
        <v>8000</v>
      </c>
      <c r="K64" s="10">
        <f t="shared" si="15"/>
        <v>26.666666666666668</v>
      </c>
      <c r="L64" s="9">
        <f t="shared" si="16"/>
        <v>3.2805000000000002E-5</v>
      </c>
      <c r="M64" s="1">
        <f t="shared" si="17"/>
        <v>0.14782371884055634</v>
      </c>
      <c r="N64" s="1">
        <f t="shared" si="18"/>
        <v>7.8059757058415724E-3</v>
      </c>
      <c r="O64" s="10">
        <f t="shared" si="19"/>
        <v>15.032920560056578</v>
      </c>
      <c r="P64" s="1">
        <f t="shared" si="20"/>
        <v>1.4814814814814814</v>
      </c>
      <c r="Q64" s="1">
        <f t="shared" si="21"/>
        <v>3.3369891685699282</v>
      </c>
      <c r="R64" s="1">
        <f t="shared" si="22"/>
        <v>0.05</v>
      </c>
      <c r="S64" s="1">
        <f t="shared" si="23"/>
        <v>0.15879405696107829</v>
      </c>
      <c r="T64" s="9">
        <f t="shared" si="24"/>
        <v>4.0000000000000002E-4</v>
      </c>
      <c r="U64" s="1">
        <f t="shared" si="25"/>
        <v>0.13219354721160251</v>
      </c>
      <c r="V64" s="9">
        <f t="shared" si="26"/>
        <v>2.4691196049881878E-6</v>
      </c>
      <c r="W64" s="9">
        <f t="shared" si="27"/>
        <v>8.7217523626949386E-2</v>
      </c>
      <c r="X64" s="9"/>
      <c r="Y64" s="9"/>
      <c r="Z64" s="9"/>
    </row>
    <row r="65" spans="2:28" x14ac:dyDescent="0.25">
      <c r="B65" s="1"/>
      <c r="D65" s="11"/>
      <c r="E65" s="8">
        <v>118</v>
      </c>
      <c r="F65" s="11">
        <v>20</v>
      </c>
      <c r="G65" s="11">
        <v>20</v>
      </c>
      <c r="H65" s="11">
        <v>20</v>
      </c>
      <c r="I65" s="11">
        <v>400</v>
      </c>
      <c r="J65" s="11">
        <f t="shared" si="14"/>
        <v>8000</v>
      </c>
      <c r="K65" s="10">
        <f t="shared" si="15"/>
        <v>26.666666666666668</v>
      </c>
      <c r="L65" s="9">
        <f t="shared" si="16"/>
        <v>4.0500000000000002E-5</v>
      </c>
      <c r="M65" s="1">
        <f t="shared" si="17"/>
        <v>0.13304134695650072</v>
      </c>
      <c r="N65" s="1">
        <f t="shared" si="18"/>
        <v>7.6728772756032137E-3</v>
      </c>
      <c r="O65" s="10">
        <f t="shared" si="19"/>
        <v>15.032920560056578</v>
      </c>
      <c r="P65" s="1">
        <f t="shared" si="20"/>
        <v>1.3333333333333333</v>
      </c>
      <c r="Q65" s="1">
        <f t="shared" si="21"/>
        <v>3.1657458899977615</v>
      </c>
      <c r="R65" s="1">
        <f t="shared" si="22"/>
        <v>0.05</v>
      </c>
      <c r="S65" s="1">
        <f t="shared" si="23"/>
        <v>0.15879405696107829</v>
      </c>
      <c r="T65" s="9">
        <f t="shared" si="24"/>
        <v>4.0000000000000002E-4</v>
      </c>
      <c r="U65" s="1">
        <f t="shared" si="25"/>
        <v>0.13219354721160254</v>
      </c>
      <c r="V65" s="9">
        <f t="shared" si="26"/>
        <v>2.4691196049881886E-6</v>
      </c>
      <c r="W65" s="9">
        <f t="shared" si="27"/>
        <v>8.7217523626949414E-2</v>
      </c>
      <c r="X65" s="9"/>
      <c r="Y65" s="9"/>
      <c r="Z65" s="9"/>
      <c r="AA65" s="1"/>
      <c r="AB65" s="1"/>
    </row>
    <row r="66" spans="2:28" x14ac:dyDescent="0.25">
      <c r="D66" s="11"/>
      <c r="E66" s="8">
        <v>119</v>
      </c>
      <c r="F66" s="11">
        <v>24</v>
      </c>
      <c r="G66" s="11">
        <v>20</v>
      </c>
      <c r="H66" s="11">
        <v>20</v>
      </c>
      <c r="I66" s="11">
        <v>400</v>
      </c>
      <c r="J66" s="11">
        <f t="shared" si="14"/>
        <v>8000</v>
      </c>
      <c r="K66" s="10">
        <f t="shared" si="15"/>
        <v>26.666666666666668</v>
      </c>
      <c r="L66" s="9">
        <f t="shared" si="16"/>
        <v>5.8320000000000004E-5</v>
      </c>
      <c r="M66" s="1">
        <f t="shared" si="17"/>
        <v>0.11086778913041727</v>
      </c>
      <c r="N66" s="1">
        <f t="shared" si="18"/>
        <v>7.4815277936216354E-3</v>
      </c>
      <c r="O66" s="10">
        <f t="shared" si="19"/>
        <v>15.032920560056578</v>
      </c>
      <c r="P66" s="1">
        <f t="shared" si="20"/>
        <v>1.1111111111111112</v>
      </c>
      <c r="Q66" s="1">
        <f t="shared" si="21"/>
        <v>2.8899173921350707</v>
      </c>
      <c r="R66" s="1">
        <f t="shared" si="22"/>
        <v>0.05</v>
      </c>
      <c r="S66" s="1">
        <f t="shared" si="23"/>
        <v>0.15879405696107829</v>
      </c>
      <c r="T66" s="9">
        <f t="shared" si="24"/>
        <v>4.0000000000000002E-4</v>
      </c>
      <c r="U66" s="1">
        <f t="shared" si="25"/>
        <v>0.13219354721160254</v>
      </c>
      <c r="V66" s="9">
        <f t="shared" si="26"/>
        <v>2.4691196049881886E-6</v>
      </c>
      <c r="W66" s="9">
        <f t="shared" si="27"/>
        <v>8.7217523626949414E-2</v>
      </c>
      <c r="X66" s="9"/>
      <c r="Y66" s="9"/>
      <c r="Z66" s="9"/>
      <c r="AA66" s="1"/>
      <c r="AB66" s="1"/>
    </row>
    <row r="67" spans="2:28" x14ac:dyDescent="0.25">
      <c r="D67" s="11"/>
      <c r="E67" s="8">
        <v>148</v>
      </c>
      <c r="F67" s="11">
        <v>9</v>
      </c>
      <c r="G67" s="11">
        <v>20</v>
      </c>
      <c r="H67" s="11">
        <v>20</v>
      </c>
      <c r="I67" s="11">
        <v>550</v>
      </c>
      <c r="J67" s="11">
        <f t="shared" si="14"/>
        <v>15125</v>
      </c>
      <c r="K67" s="10">
        <f t="shared" si="15"/>
        <v>26.666666666666668</v>
      </c>
      <c r="L67" s="9">
        <f t="shared" si="16"/>
        <v>8.2012500000000005E-6</v>
      </c>
      <c r="M67" s="1">
        <f t="shared" si="17"/>
        <v>0.29564743768111268</v>
      </c>
      <c r="N67" s="1">
        <f t="shared" si="18"/>
        <v>6.8685306490931502E-3</v>
      </c>
      <c r="O67" s="10">
        <f t="shared" si="19"/>
        <v>15.032920560056578</v>
      </c>
      <c r="P67" s="1">
        <f t="shared" si="20"/>
        <v>2.9629629629629628</v>
      </c>
      <c r="Q67" s="1">
        <f t="shared" si="21"/>
        <v>4.7192153396837107</v>
      </c>
      <c r="R67" s="1">
        <f t="shared" si="22"/>
        <v>3.6363636363636362E-2</v>
      </c>
      <c r="S67" s="1">
        <f t="shared" si="23"/>
        <v>0.13542002678846199</v>
      </c>
      <c r="T67" s="9">
        <f t="shared" si="24"/>
        <v>4.0000000000000002E-4</v>
      </c>
      <c r="U67" s="1">
        <f t="shared" si="25"/>
        <v>9.6140761608438194E-2</v>
      </c>
      <c r="V67" s="9">
        <f t="shared" si="26"/>
        <v>1.8303847717422586E-6</v>
      </c>
      <c r="W67" s="9">
        <f t="shared" si="27"/>
        <v>6.590327272016179E-2</v>
      </c>
      <c r="X67" s="9"/>
      <c r="Y67" s="9"/>
      <c r="Z67" s="9"/>
      <c r="AA67" s="1"/>
    </row>
    <row r="68" spans="2:28" x14ac:dyDescent="0.25">
      <c r="D68" s="11"/>
      <c r="E68" s="8">
        <v>149</v>
      </c>
      <c r="F68" s="11">
        <v>10</v>
      </c>
      <c r="G68" s="11">
        <v>20</v>
      </c>
      <c r="H68" s="11">
        <v>20</v>
      </c>
      <c r="I68" s="11">
        <v>550</v>
      </c>
      <c r="J68" s="11">
        <f t="shared" ref="J68:J99" si="28">I68^2/H68</f>
        <v>15125</v>
      </c>
      <c r="K68" s="10">
        <f t="shared" ref="K68:K99" si="29">H68/eff</f>
        <v>26.666666666666668</v>
      </c>
      <c r="L68" s="9">
        <f t="shared" ref="L68:L99" si="30">F68^2*Dmax^2/(2*fs*H68)</f>
        <v>1.0125E-5</v>
      </c>
      <c r="M68" s="1">
        <f t="shared" ref="M68:M99" si="31">SQRT(2*fs*Lp*H68)/F68</f>
        <v>0.26608269391300143</v>
      </c>
      <c r="N68" s="1">
        <f t="shared" ref="N68:N99" si="32">F68*M68/(I68*(1-M68))</f>
        <v>6.5918423260087162E-3</v>
      </c>
      <c r="O68" s="10">
        <f t="shared" ref="O68:O99" si="33">SQRT(2*H68/(fs*Lp))</f>
        <v>15.032920560056578</v>
      </c>
      <c r="P68" s="1">
        <f t="shared" ref="P68:P99" si="34">H68/(F68*eff)</f>
        <v>2.6666666666666665</v>
      </c>
      <c r="Q68" s="1">
        <f t="shared" ref="Q68:Q99" si="35">O68*SQRT(M68/3)</f>
        <v>4.4770407726617192</v>
      </c>
      <c r="R68" s="1">
        <f t="shared" ref="R68:R99" si="36">H68/I68</f>
        <v>3.6363636363636362E-2</v>
      </c>
      <c r="S68" s="1">
        <f t="shared" ref="S68:S99" si="37">SQRT(2*R68*n*O68/3)</f>
        <v>0.13542002678846199</v>
      </c>
      <c r="T68" s="9">
        <f t="shared" ref="T68:T99" si="38">0.5*Lp*O68^2</f>
        <v>4.0000000000000002E-4</v>
      </c>
      <c r="U68" s="1">
        <f t="shared" ref="U68:U99" si="39">F68*M68/(n*I68)</f>
        <v>9.6140761608438208E-2</v>
      </c>
      <c r="V68" s="9">
        <f t="shared" ref="V68:V99" si="40">(n*O68-R68)*U68/(fs*n*O68)</f>
        <v>1.8303847717422586E-6</v>
      </c>
      <c r="W68" s="9">
        <f t="shared" ref="W68:W99" si="41">(n*O68-R68)*V68/(2*Cout)</f>
        <v>6.590327272016179E-2</v>
      </c>
      <c r="X68" s="9"/>
      <c r="Y68" s="9"/>
      <c r="Z68" s="9"/>
      <c r="AA68" s="1"/>
    </row>
    <row r="69" spans="2:28" x14ac:dyDescent="0.25">
      <c r="D69" s="11"/>
      <c r="E69" s="8">
        <v>150</v>
      </c>
      <c r="F69" s="11">
        <v>12</v>
      </c>
      <c r="G69" s="11">
        <v>20</v>
      </c>
      <c r="H69" s="11">
        <v>20</v>
      </c>
      <c r="I69" s="11">
        <v>550</v>
      </c>
      <c r="J69" s="11">
        <f t="shared" si="28"/>
        <v>15125</v>
      </c>
      <c r="K69" s="10">
        <f t="shared" si="29"/>
        <v>26.666666666666668</v>
      </c>
      <c r="L69" s="9">
        <f t="shared" si="30"/>
        <v>1.4580000000000001E-5</v>
      </c>
      <c r="M69" s="1">
        <f t="shared" si="31"/>
        <v>0.22173557826083454</v>
      </c>
      <c r="N69" s="1">
        <f t="shared" si="32"/>
        <v>6.2162255229958052E-3</v>
      </c>
      <c r="O69" s="10">
        <f t="shared" si="33"/>
        <v>15.032920560056578</v>
      </c>
      <c r="P69" s="1">
        <f t="shared" si="34"/>
        <v>2.2222222222222223</v>
      </c>
      <c r="Q69" s="1">
        <f t="shared" si="35"/>
        <v>4.0869603700953032</v>
      </c>
      <c r="R69" s="1">
        <f t="shared" si="36"/>
        <v>3.6363636363636362E-2</v>
      </c>
      <c r="S69" s="1">
        <f t="shared" si="37"/>
        <v>0.13542002678846199</v>
      </c>
      <c r="T69" s="9">
        <f t="shared" si="38"/>
        <v>4.0000000000000002E-4</v>
      </c>
      <c r="U69" s="1">
        <f t="shared" si="39"/>
        <v>9.6140761608438208E-2</v>
      </c>
      <c r="V69" s="9">
        <f t="shared" si="40"/>
        <v>1.8303847717422586E-6</v>
      </c>
      <c r="W69" s="9">
        <f t="shared" si="41"/>
        <v>6.590327272016179E-2</v>
      </c>
      <c r="X69" s="9"/>
      <c r="Y69" s="9"/>
      <c r="Z69" s="9"/>
      <c r="AA69" s="1"/>
    </row>
    <row r="70" spans="2:28" x14ac:dyDescent="0.25">
      <c r="D70" s="11"/>
      <c r="E70" s="8">
        <v>151</v>
      </c>
      <c r="F70" s="11">
        <v>15</v>
      </c>
      <c r="G70" s="11">
        <v>20</v>
      </c>
      <c r="H70" s="11">
        <v>20</v>
      </c>
      <c r="I70" s="11">
        <v>550</v>
      </c>
      <c r="J70" s="11">
        <f t="shared" si="28"/>
        <v>15125</v>
      </c>
      <c r="K70" s="10">
        <f t="shared" si="29"/>
        <v>26.666666666666668</v>
      </c>
      <c r="L70" s="9">
        <f t="shared" si="30"/>
        <v>2.2781250000000001E-5</v>
      </c>
      <c r="M70" s="1">
        <f t="shared" si="31"/>
        <v>0.17738846260866761</v>
      </c>
      <c r="N70" s="1">
        <f t="shared" si="32"/>
        <v>5.8811078402771092E-3</v>
      </c>
      <c r="O70" s="10">
        <f t="shared" si="33"/>
        <v>15.032920560056578</v>
      </c>
      <c r="P70" s="1">
        <f t="shared" si="34"/>
        <v>1.7777777777777777</v>
      </c>
      <c r="Q70" s="1">
        <f t="shared" si="35"/>
        <v>3.6554884835523183</v>
      </c>
      <c r="R70" s="1">
        <f t="shared" si="36"/>
        <v>3.6363636363636362E-2</v>
      </c>
      <c r="S70" s="1">
        <f t="shared" si="37"/>
        <v>0.13542002678846199</v>
      </c>
      <c r="T70" s="9">
        <f t="shared" si="38"/>
        <v>4.0000000000000002E-4</v>
      </c>
      <c r="U70" s="1">
        <f t="shared" si="39"/>
        <v>9.6140761608438208E-2</v>
      </c>
      <c r="V70" s="9">
        <f t="shared" si="40"/>
        <v>1.8303847717422586E-6</v>
      </c>
      <c r="W70" s="9">
        <f t="shared" si="41"/>
        <v>6.590327272016179E-2</v>
      </c>
      <c r="X70" s="9"/>
      <c r="Y70" s="9"/>
      <c r="Z70" s="9"/>
      <c r="AA70" s="1"/>
    </row>
    <row r="71" spans="2:28" x14ac:dyDescent="0.25">
      <c r="D71" s="11"/>
      <c r="E71" s="8">
        <v>152</v>
      </c>
      <c r="F71" s="11">
        <v>18</v>
      </c>
      <c r="G71" s="11">
        <v>20</v>
      </c>
      <c r="H71" s="11">
        <v>20</v>
      </c>
      <c r="I71" s="11">
        <v>550</v>
      </c>
      <c r="J71" s="11">
        <f t="shared" si="28"/>
        <v>15125</v>
      </c>
      <c r="K71" s="10">
        <f t="shared" si="29"/>
        <v>26.666666666666668</v>
      </c>
      <c r="L71" s="9">
        <f t="shared" si="30"/>
        <v>3.2805000000000002E-5</v>
      </c>
      <c r="M71" s="1">
        <f t="shared" si="31"/>
        <v>0.14782371884055634</v>
      </c>
      <c r="N71" s="1">
        <f t="shared" si="32"/>
        <v>5.6770732406120523E-3</v>
      </c>
      <c r="O71" s="10">
        <f t="shared" si="33"/>
        <v>15.032920560056578</v>
      </c>
      <c r="P71" s="1">
        <f t="shared" si="34"/>
        <v>1.4814814814814814</v>
      </c>
      <c r="Q71" s="1">
        <f t="shared" si="35"/>
        <v>3.3369891685699282</v>
      </c>
      <c r="R71" s="1">
        <f t="shared" si="36"/>
        <v>3.6363636363636362E-2</v>
      </c>
      <c r="S71" s="1">
        <f t="shared" si="37"/>
        <v>0.13542002678846199</v>
      </c>
      <c r="T71" s="9">
        <f t="shared" si="38"/>
        <v>4.0000000000000002E-4</v>
      </c>
      <c r="U71" s="1">
        <f t="shared" si="39"/>
        <v>9.6140761608438194E-2</v>
      </c>
      <c r="V71" s="9">
        <f t="shared" si="40"/>
        <v>1.8303847717422586E-6</v>
      </c>
      <c r="W71" s="9">
        <f t="shared" si="41"/>
        <v>6.590327272016179E-2</v>
      </c>
      <c r="X71" s="9"/>
      <c r="Y71" s="9"/>
      <c r="Z71" s="9"/>
      <c r="AA71" s="1"/>
    </row>
    <row r="72" spans="2:28" x14ac:dyDescent="0.25">
      <c r="D72" s="11"/>
      <c r="E72" s="8">
        <v>153</v>
      </c>
      <c r="F72" s="11">
        <v>20</v>
      </c>
      <c r="G72" s="11">
        <v>20</v>
      </c>
      <c r="H72" s="11">
        <v>20</v>
      </c>
      <c r="I72" s="11">
        <v>550</v>
      </c>
      <c r="J72" s="11">
        <f t="shared" si="28"/>
        <v>15125</v>
      </c>
      <c r="K72" s="10">
        <f t="shared" si="29"/>
        <v>26.666666666666668</v>
      </c>
      <c r="L72" s="9">
        <f t="shared" si="30"/>
        <v>4.0500000000000002E-5</v>
      </c>
      <c r="M72" s="1">
        <f t="shared" si="31"/>
        <v>0.13304134695650072</v>
      </c>
      <c r="N72" s="1">
        <f t="shared" si="32"/>
        <v>5.580274382256882E-3</v>
      </c>
      <c r="O72" s="10">
        <f t="shared" si="33"/>
        <v>15.032920560056578</v>
      </c>
      <c r="P72" s="1">
        <f t="shared" si="34"/>
        <v>1.3333333333333333</v>
      </c>
      <c r="Q72" s="1">
        <f t="shared" si="35"/>
        <v>3.1657458899977615</v>
      </c>
      <c r="R72" s="1">
        <f t="shared" si="36"/>
        <v>3.6363636363636362E-2</v>
      </c>
      <c r="S72" s="1">
        <f t="shared" si="37"/>
        <v>0.13542002678846199</v>
      </c>
      <c r="T72" s="9">
        <f t="shared" si="38"/>
        <v>4.0000000000000002E-4</v>
      </c>
      <c r="U72" s="1">
        <f t="shared" si="39"/>
        <v>9.6140761608438208E-2</v>
      </c>
      <c r="V72" s="9">
        <f t="shared" si="40"/>
        <v>1.8303847717422586E-6</v>
      </c>
      <c r="W72" s="9">
        <f t="shared" si="41"/>
        <v>6.590327272016179E-2</v>
      </c>
      <c r="X72" s="9"/>
      <c r="Y72" s="9"/>
      <c r="Z72" s="9"/>
      <c r="AA72" s="1"/>
    </row>
    <row r="73" spans="2:28" x14ac:dyDescent="0.25">
      <c r="D73" s="11"/>
      <c r="E73" s="8">
        <v>154</v>
      </c>
      <c r="F73" s="11">
        <v>24</v>
      </c>
      <c r="G73" s="11">
        <v>20</v>
      </c>
      <c r="H73" s="11">
        <v>20</v>
      </c>
      <c r="I73" s="11">
        <v>550</v>
      </c>
      <c r="J73" s="11">
        <f t="shared" si="28"/>
        <v>15125</v>
      </c>
      <c r="K73" s="10">
        <f t="shared" si="29"/>
        <v>26.666666666666668</v>
      </c>
      <c r="L73" s="9">
        <f t="shared" si="30"/>
        <v>5.8320000000000004E-5</v>
      </c>
      <c r="M73" s="1">
        <f t="shared" si="31"/>
        <v>0.11086778913041727</v>
      </c>
      <c r="N73" s="1">
        <f t="shared" si="32"/>
        <v>5.4411111226339171E-3</v>
      </c>
      <c r="O73" s="10">
        <f t="shared" si="33"/>
        <v>15.032920560056578</v>
      </c>
      <c r="P73" s="1">
        <f t="shared" si="34"/>
        <v>1.1111111111111112</v>
      </c>
      <c r="Q73" s="1">
        <f t="shared" si="35"/>
        <v>2.8899173921350707</v>
      </c>
      <c r="R73" s="1">
        <f t="shared" si="36"/>
        <v>3.6363636363636362E-2</v>
      </c>
      <c r="S73" s="1">
        <f t="shared" si="37"/>
        <v>0.13542002678846199</v>
      </c>
      <c r="T73" s="9">
        <f t="shared" si="38"/>
        <v>4.0000000000000002E-4</v>
      </c>
      <c r="U73" s="1">
        <f t="shared" si="39"/>
        <v>9.6140761608438208E-2</v>
      </c>
      <c r="V73" s="9">
        <f t="shared" si="40"/>
        <v>1.8303847717422586E-6</v>
      </c>
      <c r="W73" s="9">
        <f t="shared" si="41"/>
        <v>6.590327272016179E-2</v>
      </c>
      <c r="X73" s="9"/>
      <c r="Y73" s="9"/>
      <c r="Z73" s="9"/>
      <c r="AA73" s="1"/>
    </row>
    <row r="74" spans="2:28" x14ac:dyDescent="0.25">
      <c r="D74" s="11"/>
      <c r="E74" s="8">
        <v>15</v>
      </c>
      <c r="F74" s="11">
        <v>9</v>
      </c>
      <c r="G74" s="11">
        <v>35</v>
      </c>
      <c r="H74" s="21">
        <v>29</v>
      </c>
      <c r="I74" s="11">
        <v>100</v>
      </c>
      <c r="J74" s="11">
        <f t="shared" si="28"/>
        <v>344.82758620689657</v>
      </c>
      <c r="K74" s="10">
        <f t="shared" si="29"/>
        <v>38.666666666666664</v>
      </c>
      <c r="L74" s="9">
        <f t="shared" si="30"/>
        <v>5.6560344827586206E-6</v>
      </c>
      <c r="M74" s="1">
        <f t="shared" si="31"/>
        <v>0.35600665828147199</v>
      </c>
      <c r="N74" s="1">
        <f t="shared" si="32"/>
        <v>4.9752997693781366E-2</v>
      </c>
      <c r="O74" s="10">
        <f t="shared" si="33"/>
        <v>18.102033471939254</v>
      </c>
      <c r="P74" s="1">
        <f t="shared" si="34"/>
        <v>4.2962962962962967</v>
      </c>
      <c r="Q74" s="1">
        <f t="shared" si="35"/>
        <v>6.2358519610765377</v>
      </c>
      <c r="R74" s="1">
        <f t="shared" si="36"/>
        <v>0.28999999999999998</v>
      </c>
      <c r="S74" s="1">
        <f t="shared" si="37"/>
        <v>0.41965291271256344</v>
      </c>
      <c r="T74" s="9">
        <f t="shared" si="38"/>
        <v>5.8000000000000022E-4</v>
      </c>
      <c r="U74" s="1">
        <f t="shared" si="39"/>
        <v>0.63672844058182254</v>
      </c>
      <c r="V74" s="9">
        <f t="shared" si="40"/>
        <v>8.6803377411788537E-6</v>
      </c>
      <c r="W74" s="9">
        <f t="shared" si="41"/>
        <v>0.2694838549841781</v>
      </c>
      <c r="X74" s="9"/>
      <c r="Y74" s="9"/>
      <c r="Z74" s="9"/>
      <c r="AA74" s="1"/>
    </row>
    <row r="75" spans="2:28" x14ac:dyDescent="0.25">
      <c r="D75" s="11"/>
      <c r="E75" s="8">
        <v>22</v>
      </c>
      <c r="F75" s="11">
        <v>9</v>
      </c>
      <c r="G75" s="11">
        <v>55</v>
      </c>
      <c r="H75" s="21">
        <v>29</v>
      </c>
      <c r="I75" s="11">
        <v>100</v>
      </c>
      <c r="J75" s="11">
        <f t="shared" si="28"/>
        <v>344.82758620689657</v>
      </c>
      <c r="K75" s="10">
        <f t="shared" si="29"/>
        <v>38.666666666666664</v>
      </c>
      <c r="L75" s="9">
        <f t="shared" si="30"/>
        <v>5.6560344827586206E-6</v>
      </c>
      <c r="M75" s="1">
        <f t="shared" si="31"/>
        <v>0.35600665828147199</v>
      </c>
      <c r="N75" s="1">
        <f t="shared" si="32"/>
        <v>4.9752997693781366E-2</v>
      </c>
      <c r="O75" s="10">
        <f t="shared" si="33"/>
        <v>18.102033471939254</v>
      </c>
      <c r="P75" s="1">
        <f t="shared" si="34"/>
        <v>4.2962962962962967</v>
      </c>
      <c r="Q75" s="1">
        <f t="shared" si="35"/>
        <v>6.2358519610765377</v>
      </c>
      <c r="R75" s="1">
        <f t="shared" si="36"/>
        <v>0.28999999999999998</v>
      </c>
      <c r="S75" s="1">
        <f t="shared" si="37"/>
        <v>0.41965291271256344</v>
      </c>
      <c r="T75" s="9">
        <f t="shared" si="38"/>
        <v>5.8000000000000022E-4</v>
      </c>
      <c r="U75" s="1">
        <f t="shared" si="39"/>
        <v>0.63672844058182254</v>
      </c>
      <c r="V75" s="9">
        <f t="shared" si="40"/>
        <v>8.6803377411788537E-6</v>
      </c>
      <c r="W75" s="9">
        <f t="shared" si="41"/>
        <v>0.2694838549841781</v>
      </c>
      <c r="X75" s="9"/>
      <c r="Y75" s="9"/>
      <c r="Z75" s="9"/>
      <c r="AA75" s="1"/>
    </row>
    <row r="76" spans="2:28" x14ac:dyDescent="0.25">
      <c r="D76" s="11"/>
      <c r="E76" s="8">
        <v>29</v>
      </c>
      <c r="F76" s="11">
        <v>9</v>
      </c>
      <c r="G76" s="11">
        <v>70</v>
      </c>
      <c r="H76" s="21">
        <v>29</v>
      </c>
      <c r="I76" s="11">
        <v>100</v>
      </c>
      <c r="J76" s="11">
        <f t="shared" si="28"/>
        <v>344.82758620689657</v>
      </c>
      <c r="K76" s="10">
        <f t="shared" si="29"/>
        <v>38.666666666666664</v>
      </c>
      <c r="L76" s="9">
        <f t="shared" si="30"/>
        <v>5.6560344827586206E-6</v>
      </c>
      <c r="M76" s="1">
        <f t="shared" si="31"/>
        <v>0.35600665828147199</v>
      </c>
      <c r="N76" s="1">
        <f t="shared" si="32"/>
        <v>4.9752997693781366E-2</v>
      </c>
      <c r="O76" s="10">
        <f t="shared" si="33"/>
        <v>18.102033471939254</v>
      </c>
      <c r="P76" s="1">
        <f t="shared" si="34"/>
        <v>4.2962962962962967</v>
      </c>
      <c r="Q76" s="1">
        <f t="shared" si="35"/>
        <v>6.2358519610765377</v>
      </c>
      <c r="R76" s="1">
        <f t="shared" si="36"/>
        <v>0.28999999999999998</v>
      </c>
      <c r="S76" s="1">
        <f t="shared" si="37"/>
        <v>0.41965291271256344</v>
      </c>
      <c r="T76" s="9">
        <f t="shared" si="38"/>
        <v>5.8000000000000022E-4</v>
      </c>
      <c r="U76" s="1">
        <f t="shared" si="39"/>
        <v>0.63672844058182254</v>
      </c>
      <c r="V76" s="9">
        <f t="shared" si="40"/>
        <v>8.6803377411788537E-6</v>
      </c>
      <c r="W76" s="9">
        <f t="shared" si="41"/>
        <v>0.2694838549841781</v>
      </c>
      <c r="X76" s="9"/>
      <c r="Y76" s="9"/>
      <c r="Z76" s="11"/>
      <c r="AA76" s="1"/>
    </row>
    <row r="77" spans="2:28" x14ac:dyDescent="0.25">
      <c r="D77" s="11"/>
      <c r="E77" s="8">
        <v>16</v>
      </c>
      <c r="F77" s="11">
        <v>10</v>
      </c>
      <c r="G77" s="11">
        <v>35</v>
      </c>
      <c r="H77" s="21">
        <v>31</v>
      </c>
      <c r="I77" s="11">
        <v>100</v>
      </c>
      <c r="J77" s="11">
        <f t="shared" si="28"/>
        <v>322.58064516129031</v>
      </c>
      <c r="K77" s="10">
        <f t="shared" si="29"/>
        <v>41.333333333333336</v>
      </c>
      <c r="L77" s="9">
        <f t="shared" si="30"/>
        <v>6.532258064516129E-6</v>
      </c>
      <c r="M77" s="1">
        <f t="shared" si="31"/>
        <v>0.33127028239792355</v>
      </c>
      <c r="N77" s="1">
        <f t="shared" si="32"/>
        <v>4.953724556847703E-2</v>
      </c>
      <c r="O77" s="10">
        <f t="shared" si="33"/>
        <v>18.715835163724492</v>
      </c>
      <c r="P77" s="1">
        <f t="shared" si="34"/>
        <v>4.1333333333333337</v>
      </c>
      <c r="Q77" s="1">
        <f t="shared" si="35"/>
        <v>6.2192758960909016</v>
      </c>
      <c r="R77" s="1">
        <f t="shared" si="36"/>
        <v>0.31</v>
      </c>
      <c r="S77" s="1">
        <f t="shared" si="37"/>
        <v>0.44117715296721549</v>
      </c>
      <c r="T77" s="9">
        <f t="shared" si="38"/>
        <v>6.2E-4</v>
      </c>
      <c r="U77" s="1">
        <f t="shared" si="39"/>
        <v>0.65831855611457402</v>
      </c>
      <c r="V77" s="9">
        <f t="shared" si="40"/>
        <v>8.832537909043706E-6</v>
      </c>
      <c r="W77" s="9">
        <f t="shared" si="41"/>
        <v>0.27901691001430479</v>
      </c>
      <c r="X77" s="9"/>
      <c r="Y77" s="9"/>
      <c r="Z77" s="9"/>
      <c r="AA77" s="1"/>
    </row>
    <row r="78" spans="2:28" x14ac:dyDescent="0.25">
      <c r="D78" s="11"/>
      <c r="E78" s="8">
        <v>23</v>
      </c>
      <c r="F78" s="11">
        <v>10</v>
      </c>
      <c r="G78" s="11">
        <v>55</v>
      </c>
      <c r="H78" s="21">
        <v>31</v>
      </c>
      <c r="I78" s="11">
        <v>100</v>
      </c>
      <c r="J78" s="11">
        <f t="shared" si="28"/>
        <v>322.58064516129031</v>
      </c>
      <c r="K78" s="10">
        <f t="shared" si="29"/>
        <v>41.333333333333336</v>
      </c>
      <c r="L78" s="9">
        <f t="shared" si="30"/>
        <v>6.532258064516129E-6</v>
      </c>
      <c r="M78" s="1">
        <f t="shared" si="31"/>
        <v>0.33127028239792355</v>
      </c>
      <c r="N78" s="1">
        <f t="shared" si="32"/>
        <v>4.953724556847703E-2</v>
      </c>
      <c r="O78" s="10">
        <f t="shared" si="33"/>
        <v>18.715835163724492</v>
      </c>
      <c r="P78" s="1">
        <f t="shared" si="34"/>
        <v>4.1333333333333337</v>
      </c>
      <c r="Q78" s="1">
        <f t="shared" si="35"/>
        <v>6.2192758960909016</v>
      </c>
      <c r="R78" s="1">
        <f t="shared" si="36"/>
        <v>0.31</v>
      </c>
      <c r="S78" s="1">
        <f t="shared" si="37"/>
        <v>0.44117715296721549</v>
      </c>
      <c r="T78" s="9">
        <f t="shared" si="38"/>
        <v>6.2E-4</v>
      </c>
      <c r="U78" s="1">
        <f t="shared" si="39"/>
        <v>0.65831855611457402</v>
      </c>
      <c r="V78" s="9">
        <f t="shared" si="40"/>
        <v>8.832537909043706E-6</v>
      </c>
      <c r="W78" s="9">
        <f t="shared" si="41"/>
        <v>0.27901691001430479</v>
      </c>
      <c r="X78" s="9"/>
      <c r="Y78" s="9"/>
      <c r="Z78" s="9"/>
      <c r="AA78" s="1"/>
    </row>
    <row r="79" spans="2:28" x14ac:dyDescent="0.25">
      <c r="D79" s="11"/>
      <c r="E79" s="8">
        <v>30</v>
      </c>
      <c r="F79" s="11">
        <v>10</v>
      </c>
      <c r="G79" s="11">
        <v>70</v>
      </c>
      <c r="H79" s="21">
        <v>31</v>
      </c>
      <c r="I79" s="11">
        <v>100</v>
      </c>
      <c r="J79" s="11">
        <f t="shared" si="28"/>
        <v>322.58064516129031</v>
      </c>
      <c r="K79" s="10">
        <f t="shared" si="29"/>
        <v>41.333333333333336</v>
      </c>
      <c r="L79" s="9">
        <f t="shared" si="30"/>
        <v>6.532258064516129E-6</v>
      </c>
      <c r="M79" s="1">
        <f t="shared" si="31"/>
        <v>0.33127028239792355</v>
      </c>
      <c r="N79" s="1">
        <f t="shared" si="32"/>
        <v>4.953724556847703E-2</v>
      </c>
      <c r="O79" s="10">
        <f t="shared" si="33"/>
        <v>18.715835163724492</v>
      </c>
      <c r="P79" s="1">
        <f t="shared" si="34"/>
        <v>4.1333333333333337</v>
      </c>
      <c r="Q79" s="1">
        <f t="shared" si="35"/>
        <v>6.2192758960909016</v>
      </c>
      <c r="R79" s="1">
        <f t="shared" si="36"/>
        <v>0.31</v>
      </c>
      <c r="S79" s="1">
        <f t="shared" si="37"/>
        <v>0.44117715296721549</v>
      </c>
      <c r="T79" s="9">
        <f t="shared" si="38"/>
        <v>6.2E-4</v>
      </c>
      <c r="U79" s="1">
        <f t="shared" si="39"/>
        <v>0.65831855611457402</v>
      </c>
      <c r="V79" s="9">
        <f t="shared" si="40"/>
        <v>8.832537909043706E-6</v>
      </c>
      <c r="W79" s="9">
        <f t="shared" si="41"/>
        <v>0.27901691001430479</v>
      </c>
      <c r="X79" s="9"/>
      <c r="Y79" s="9"/>
      <c r="Z79" s="11"/>
      <c r="AA79" s="1"/>
    </row>
    <row r="80" spans="2:28" x14ac:dyDescent="0.25">
      <c r="D80" s="11"/>
      <c r="E80" s="8">
        <v>18</v>
      </c>
      <c r="F80" s="11">
        <v>15</v>
      </c>
      <c r="G80" s="11">
        <v>35</v>
      </c>
      <c r="H80" s="11">
        <v>35</v>
      </c>
      <c r="I80" s="11">
        <v>100</v>
      </c>
      <c r="J80" s="11">
        <f t="shared" si="28"/>
        <v>285.71428571428572</v>
      </c>
      <c r="K80" s="10">
        <f t="shared" si="29"/>
        <v>46.666666666666664</v>
      </c>
      <c r="L80" s="9">
        <f t="shared" si="30"/>
        <v>1.3017857142857143E-5</v>
      </c>
      <c r="M80" s="1">
        <f t="shared" si="31"/>
        <v>0.23466287875730721</v>
      </c>
      <c r="N80" s="1">
        <f t="shared" si="32"/>
        <v>4.5992061323828222E-2</v>
      </c>
      <c r="O80" s="10">
        <f t="shared" si="33"/>
        <v>19.886684640449765</v>
      </c>
      <c r="P80" s="1">
        <f t="shared" si="34"/>
        <v>3.1111111111111112</v>
      </c>
      <c r="Q80" s="1">
        <f t="shared" si="35"/>
        <v>5.5619099933415832</v>
      </c>
      <c r="R80" s="1">
        <f t="shared" si="36"/>
        <v>0.35</v>
      </c>
      <c r="S80" s="1">
        <f t="shared" si="37"/>
        <v>0.48321763631261805</v>
      </c>
      <c r="T80" s="9">
        <f t="shared" si="38"/>
        <v>7.000000000000001E-4</v>
      </c>
      <c r="U80" s="1">
        <f t="shared" si="39"/>
        <v>0.69950250169875239</v>
      </c>
      <c r="V80" s="9">
        <f t="shared" si="40"/>
        <v>9.0970125351469142E-6</v>
      </c>
      <c r="W80" s="9">
        <f t="shared" si="41"/>
        <v>0.29597640504036554</v>
      </c>
      <c r="X80" s="9"/>
      <c r="Y80" s="9"/>
      <c r="Z80" s="9"/>
      <c r="AA80" s="1"/>
    </row>
    <row r="81" spans="4:27" x14ac:dyDescent="0.25">
      <c r="D81" s="11"/>
      <c r="E81" s="8">
        <v>20</v>
      </c>
      <c r="F81" s="11">
        <v>20</v>
      </c>
      <c r="G81" s="11">
        <v>35</v>
      </c>
      <c r="H81" s="11">
        <v>35</v>
      </c>
      <c r="I81" s="11">
        <v>100</v>
      </c>
      <c r="J81" s="11">
        <f t="shared" si="28"/>
        <v>285.71428571428572</v>
      </c>
      <c r="K81" s="10">
        <f t="shared" si="29"/>
        <v>46.666666666666664</v>
      </c>
      <c r="L81" s="9">
        <f t="shared" si="30"/>
        <v>2.3142857142857142E-5</v>
      </c>
      <c r="M81" s="1">
        <f t="shared" si="31"/>
        <v>0.17599715906798041</v>
      </c>
      <c r="N81" s="1">
        <f t="shared" si="32"/>
        <v>4.2717609776420716E-2</v>
      </c>
      <c r="O81" s="10">
        <f t="shared" si="33"/>
        <v>19.886684640449765</v>
      </c>
      <c r="P81" s="1">
        <f t="shared" si="34"/>
        <v>2.3333333333333335</v>
      </c>
      <c r="Q81" s="1">
        <f t="shared" si="35"/>
        <v>4.8167553477963487</v>
      </c>
      <c r="R81" s="1">
        <f t="shared" si="36"/>
        <v>0.35</v>
      </c>
      <c r="S81" s="1">
        <f t="shared" si="37"/>
        <v>0.48321763631261805</v>
      </c>
      <c r="T81" s="9">
        <f t="shared" si="38"/>
        <v>7.000000000000001E-4</v>
      </c>
      <c r="U81" s="1">
        <f t="shared" si="39"/>
        <v>0.69950250169875239</v>
      </c>
      <c r="V81" s="9">
        <f t="shared" si="40"/>
        <v>9.0970125351469142E-6</v>
      </c>
      <c r="W81" s="9">
        <f t="shared" si="41"/>
        <v>0.29597640504036554</v>
      </c>
      <c r="X81" s="9"/>
      <c r="Y81" s="9"/>
      <c r="Z81" s="9"/>
      <c r="AA81" s="1"/>
    </row>
    <row r="82" spans="4:27" x14ac:dyDescent="0.25">
      <c r="D82" s="11"/>
      <c r="E82" s="8">
        <v>17</v>
      </c>
      <c r="F82" s="11">
        <v>12</v>
      </c>
      <c r="G82" s="11">
        <v>35</v>
      </c>
      <c r="H82" s="11">
        <v>35</v>
      </c>
      <c r="I82" s="11">
        <v>100</v>
      </c>
      <c r="J82" s="11">
        <f t="shared" si="28"/>
        <v>285.71428571428572</v>
      </c>
      <c r="K82" s="10">
        <f t="shared" si="29"/>
        <v>46.666666666666664</v>
      </c>
      <c r="L82" s="9">
        <f t="shared" si="30"/>
        <v>8.3314285714285732E-6</v>
      </c>
      <c r="M82" s="1">
        <f t="shared" si="31"/>
        <v>0.293328598446634</v>
      </c>
      <c r="N82" s="1">
        <f t="shared" si="32"/>
        <v>4.9810182973617771E-2</v>
      </c>
      <c r="O82" s="10">
        <f t="shared" si="33"/>
        <v>19.886684640449765</v>
      </c>
      <c r="P82" s="1">
        <f t="shared" si="34"/>
        <v>3.8888888888888888</v>
      </c>
      <c r="Q82" s="1">
        <f t="shared" si="35"/>
        <v>6.218404414923592</v>
      </c>
      <c r="R82" s="1">
        <f t="shared" si="36"/>
        <v>0.35</v>
      </c>
      <c r="S82" s="1">
        <f t="shared" si="37"/>
        <v>0.48321763631261805</v>
      </c>
      <c r="T82" s="9">
        <f t="shared" si="38"/>
        <v>7.000000000000001E-4</v>
      </c>
      <c r="U82" s="1">
        <f t="shared" si="39"/>
        <v>0.69950250169875228</v>
      </c>
      <c r="V82" s="9">
        <f t="shared" si="40"/>
        <v>9.0970125351469125E-6</v>
      </c>
      <c r="W82" s="9">
        <f t="shared" si="41"/>
        <v>0.29597640504036543</v>
      </c>
      <c r="X82" s="9"/>
      <c r="Y82" s="9"/>
      <c r="Z82" s="9"/>
      <c r="AA82" s="1"/>
    </row>
    <row r="83" spans="4:27" x14ac:dyDescent="0.25">
      <c r="D83" s="11"/>
      <c r="E83" s="8">
        <v>87</v>
      </c>
      <c r="F83" s="11">
        <v>12</v>
      </c>
      <c r="G83" s="11">
        <v>35</v>
      </c>
      <c r="H83" s="11">
        <v>35</v>
      </c>
      <c r="I83" s="11">
        <v>250</v>
      </c>
      <c r="J83" s="11">
        <f t="shared" si="28"/>
        <v>1785.7142857142858</v>
      </c>
      <c r="K83" s="10">
        <f t="shared" si="29"/>
        <v>46.666666666666664</v>
      </c>
      <c r="L83" s="9">
        <f t="shared" si="30"/>
        <v>8.3314285714285732E-6</v>
      </c>
      <c r="M83" s="1">
        <f t="shared" si="31"/>
        <v>0.293328598446634</v>
      </c>
      <c r="N83" s="1">
        <f t="shared" si="32"/>
        <v>1.9924073189447108E-2</v>
      </c>
      <c r="O83" s="10">
        <f t="shared" si="33"/>
        <v>19.886684640449765</v>
      </c>
      <c r="P83" s="1">
        <f t="shared" si="34"/>
        <v>3.8888888888888888</v>
      </c>
      <c r="Q83" s="1">
        <f t="shared" si="35"/>
        <v>6.218404414923592</v>
      </c>
      <c r="R83" s="1">
        <f t="shared" si="36"/>
        <v>0.14000000000000001</v>
      </c>
      <c r="S83" s="1">
        <f t="shared" si="37"/>
        <v>0.30561366726215217</v>
      </c>
      <c r="T83" s="9">
        <f t="shared" si="38"/>
        <v>7.000000000000001E-4</v>
      </c>
      <c r="U83" s="1">
        <f t="shared" si="39"/>
        <v>0.27980100067950092</v>
      </c>
      <c r="V83" s="9">
        <f t="shared" si="40"/>
        <v>4.8131340137775163E-6</v>
      </c>
      <c r="W83" s="9">
        <f t="shared" si="41"/>
        <v>0.20713592180842713</v>
      </c>
      <c r="X83" s="9"/>
      <c r="Y83" s="9"/>
      <c r="Z83" s="9"/>
      <c r="AA83" s="1"/>
    </row>
    <row r="84" spans="4:27" x14ac:dyDescent="0.25">
      <c r="D84" s="11"/>
      <c r="E84" s="8">
        <v>157</v>
      </c>
      <c r="F84" s="11">
        <v>12</v>
      </c>
      <c r="G84" s="11">
        <v>35</v>
      </c>
      <c r="H84" s="11">
        <v>35</v>
      </c>
      <c r="I84" s="11">
        <v>550</v>
      </c>
      <c r="J84" s="11">
        <f t="shared" si="28"/>
        <v>8642.8571428571431</v>
      </c>
      <c r="K84" s="10">
        <f t="shared" si="29"/>
        <v>46.666666666666664</v>
      </c>
      <c r="L84" s="9">
        <f t="shared" si="30"/>
        <v>8.3314285714285732E-6</v>
      </c>
      <c r="M84" s="1">
        <f t="shared" si="31"/>
        <v>0.293328598446634</v>
      </c>
      <c r="N84" s="1">
        <f t="shared" si="32"/>
        <v>9.0563969042941408E-3</v>
      </c>
      <c r="O84" s="10">
        <f t="shared" si="33"/>
        <v>19.886684640449765</v>
      </c>
      <c r="P84" s="1">
        <f t="shared" si="34"/>
        <v>3.8888888888888888</v>
      </c>
      <c r="Q84" s="1">
        <f t="shared" si="35"/>
        <v>6.218404414923592</v>
      </c>
      <c r="R84" s="1">
        <f t="shared" si="36"/>
        <v>6.363636363636363E-2</v>
      </c>
      <c r="S84" s="1">
        <f t="shared" si="37"/>
        <v>0.20604469243503001</v>
      </c>
      <c r="T84" s="9">
        <f t="shared" si="38"/>
        <v>7.000000000000001E-4</v>
      </c>
      <c r="U84" s="1">
        <f t="shared" si="39"/>
        <v>0.1271822730361368</v>
      </c>
      <c r="V84" s="9">
        <f t="shared" si="40"/>
        <v>2.3818921549763513E-6</v>
      </c>
      <c r="W84" s="9">
        <f t="shared" si="41"/>
        <v>0.11160056213186653</v>
      </c>
      <c r="X84" s="9"/>
      <c r="Y84" s="9"/>
      <c r="Z84" s="9"/>
      <c r="AA84" s="1"/>
    </row>
    <row r="85" spans="4:27" x14ac:dyDescent="0.25">
      <c r="D85" s="11"/>
      <c r="E85" s="8">
        <v>50</v>
      </c>
      <c r="F85" s="11">
        <v>9</v>
      </c>
      <c r="G85" s="11">
        <v>35</v>
      </c>
      <c r="H85" s="11">
        <v>35</v>
      </c>
      <c r="I85" s="11">
        <v>170</v>
      </c>
      <c r="J85" s="11">
        <f t="shared" si="28"/>
        <v>825.71428571428567</v>
      </c>
      <c r="K85" s="10">
        <f t="shared" si="29"/>
        <v>46.666666666666664</v>
      </c>
      <c r="L85" s="9">
        <f t="shared" si="30"/>
        <v>4.6864285714285717E-6</v>
      </c>
      <c r="M85" s="1">
        <f t="shared" si="31"/>
        <v>0.39110479792884534</v>
      </c>
      <c r="N85" s="1">
        <f t="shared" si="32"/>
        <v>3.4005109672756342E-2</v>
      </c>
      <c r="O85" s="10">
        <f t="shared" si="33"/>
        <v>19.886684640449765</v>
      </c>
      <c r="P85" s="1">
        <f t="shared" si="34"/>
        <v>5.1851851851851851</v>
      </c>
      <c r="Q85" s="1">
        <f t="shared" si="35"/>
        <v>7.1803949257721849</v>
      </c>
      <c r="R85" s="1">
        <f t="shared" si="36"/>
        <v>0.20588235294117646</v>
      </c>
      <c r="S85" s="1">
        <f t="shared" si="37"/>
        <v>0.37061100904535982</v>
      </c>
      <c r="T85" s="9">
        <f t="shared" si="38"/>
        <v>7.000000000000001E-4</v>
      </c>
      <c r="U85" s="1">
        <f t="shared" si="39"/>
        <v>0.41147205982279556</v>
      </c>
      <c r="V85" s="9">
        <f t="shared" si="40"/>
        <v>6.536348636307768E-6</v>
      </c>
      <c r="W85" s="9">
        <f t="shared" si="41"/>
        <v>0.25976392819213862</v>
      </c>
      <c r="X85" s="9"/>
      <c r="Y85" s="9"/>
      <c r="Z85" s="9"/>
      <c r="AA85" s="1"/>
    </row>
    <row r="86" spans="4:27" x14ac:dyDescent="0.25">
      <c r="D86" s="11"/>
      <c r="E86" s="8">
        <v>51</v>
      </c>
      <c r="F86" s="11">
        <v>10</v>
      </c>
      <c r="G86" s="11">
        <v>35</v>
      </c>
      <c r="H86" s="11">
        <v>35</v>
      </c>
      <c r="I86" s="11">
        <v>170</v>
      </c>
      <c r="J86" s="11">
        <f t="shared" si="28"/>
        <v>825.71428571428567</v>
      </c>
      <c r="K86" s="10">
        <f t="shared" si="29"/>
        <v>46.666666666666664</v>
      </c>
      <c r="L86" s="9">
        <f t="shared" si="30"/>
        <v>5.7857142857142855E-6</v>
      </c>
      <c r="M86" s="1">
        <f t="shared" si="31"/>
        <v>0.35199431813596083</v>
      </c>
      <c r="N86" s="1">
        <f t="shared" si="32"/>
        <v>3.1952726195368569E-2</v>
      </c>
      <c r="O86" s="10">
        <f t="shared" si="33"/>
        <v>19.886684640449765</v>
      </c>
      <c r="P86" s="1">
        <f t="shared" si="34"/>
        <v>4.666666666666667</v>
      </c>
      <c r="Q86" s="1">
        <f t="shared" si="35"/>
        <v>6.8119207394867312</v>
      </c>
      <c r="R86" s="1">
        <f t="shared" si="36"/>
        <v>0.20588235294117646</v>
      </c>
      <c r="S86" s="1">
        <f t="shared" si="37"/>
        <v>0.37061100904535982</v>
      </c>
      <c r="T86" s="9">
        <f t="shared" si="38"/>
        <v>7.000000000000001E-4</v>
      </c>
      <c r="U86" s="1">
        <f t="shared" si="39"/>
        <v>0.41147205982279561</v>
      </c>
      <c r="V86" s="9">
        <f t="shared" si="40"/>
        <v>6.5363486363077688E-6</v>
      </c>
      <c r="W86" s="9">
        <f t="shared" si="41"/>
        <v>0.25976392819213862</v>
      </c>
      <c r="X86" s="9"/>
      <c r="Y86" s="9"/>
      <c r="Z86" s="9"/>
      <c r="AA86" s="1"/>
    </row>
    <row r="87" spans="4:27" x14ac:dyDescent="0.25">
      <c r="D87" s="11"/>
      <c r="E87" s="8">
        <v>52</v>
      </c>
      <c r="F87" s="11">
        <v>12</v>
      </c>
      <c r="G87" s="11">
        <v>35</v>
      </c>
      <c r="H87" s="11">
        <v>35</v>
      </c>
      <c r="I87" s="11">
        <v>170</v>
      </c>
      <c r="J87" s="11">
        <f t="shared" si="28"/>
        <v>825.71428571428567</v>
      </c>
      <c r="K87" s="10">
        <f t="shared" si="29"/>
        <v>46.666666666666664</v>
      </c>
      <c r="L87" s="9">
        <f t="shared" si="30"/>
        <v>8.3314285714285732E-6</v>
      </c>
      <c r="M87" s="1">
        <f t="shared" si="31"/>
        <v>0.293328598446634</v>
      </c>
      <c r="N87" s="1">
        <f t="shared" si="32"/>
        <v>2.9300107631539868E-2</v>
      </c>
      <c r="O87" s="10">
        <f t="shared" si="33"/>
        <v>19.886684640449765</v>
      </c>
      <c r="P87" s="1">
        <f t="shared" si="34"/>
        <v>3.8888888888888888</v>
      </c>
      <c r="Q87" s="1">
        <f t="shared" si="35"/>
        <v>6.218404414923592</v>
      </c>
      <c r="R87" s="1">
        <f t="shared" si="36"/>
        <v>0.20588235294117646</v>
      </c>
      <c r="S87" s="1">
        <f t="shared" si="37"/>
        <v>0.37061100904535982</v>
      </c>
      <c r="T87" s="9">
        <f t="shared" si="38"/>
        <v>7.000000000000001E-4</v>
      </c>
      <c r="U87" s="1">
        <f t="shared" si="39"/>
        <v>0.41147205982279556</v>
      </c>
      <c r="V87" s="9">
        <f t="shared" si="40"/>
        <v>6.536348636307768E-6</v>
      </c>
      <c r="W87" s="9">
        <f t="shared" si="41"/>
        <v>0.25976392819213862</v>
      </c>
      <c r="X87" s="9"/>
      <c r="Y87" s="9"/>
      <c r="Z87" s="9"/>
      <c r="AA87" s="1"/>
    </row>
    <row r="88" spans="4:27" x14ac:dyDescent="0.25">
      <c r="E88" s="8">
        <v>53</v>
      </c>
      <c r="F88" s="11">
        <v>15</v>
      </c>
      <c r="G88" s="11">
        <v>35</v>
      </c>
      <c r="H88" s="11">
        <v>35</v>
      </c>
      <c r="I88" s="11">
        <v>170</v>
      </c>
      <c r="J88" s="11">
        <f t="shared" si="28"/>
        <v>825.71428571428567</v>
      </c>
      <c r="K88" s="10">
        <f t="shared" si="29"/>
        <v>46.666666666666664</v>
      </c>
      <c r="L88" s="9">
        <f t="shared" si="30"/>
        <v>1.3017857142857143E-5</v>
      </c>
      <c r="M88" s="1">
        <f t="shared" si="31"/>
        <v>0.23466287875730721</v>
      </c>
      <c r="N88" s="1">
        <f t="shared" si="32"/>
        <v>2.705415371989895E-2</v>
      </c>
      <c r="O88" s="10">
        <f t="shared" si="33"/>
        <v>19.886684640449765</v>
      </c>
      <c r="P88" s="1">
        <f t="shared" si="34"/>
        <v>3.1111111111111112</v>
      </c>
      <c r="Q88" s="1">
        <f t="shared" si="35"/>
        <v>5.5619099933415832</v>
      </c>
      <c r="R88" s="1">
        <f t="shared" si="36"/>
        <v>0.20588235294117646</v>
      </c>
      <c r="S88" s="1">
        <f t="shared" si="37"/>
        <v>0.37061100904535982</v>
      </c>
      <c r="T88" s="9">
        <f t="shared" si="38"/>
        <v>7.000000000000001E-4</v>
      </c>
      <c r="U88" s="1">
        <f t="shared" si="39"/>
        <v>0.41147205982279561</v>
      </c>
      <c r="V88" s="9">
        <f t="shared" si="40"/>
        <v>6.5363486363077688E-6</v>
      </c>
      <c r="W88" s="9">
        <f t="shared" si="41"/>
        <v>0.25976392819213862</v>
      </c>
      <c r="X88" s="9"/>
      <c r="Y88" s="9"/>
      <c r="Z88" s="9"/>
      <c r="AA88" s="1"/>
    </row>
    <row r="89" spans="4:27" x14ac:dyDescent="0.25">
      <c r="E89" s="8">
        <v>54</v>
      </c>
      <c r="F89" s="11">
        <v>18</v>
      </c>
      <c r="G89" s="11">
        <v>35</v>
      </c>
      <c r="H89" s="11">
        <v>35</v>
      </c>
      <c r="I89" s="11">
        <v>170</v>
      </c>
      <c r="J89" s="11">
        <f t="shared" si="28"/>
        <v>825.71428571428567</v>
      </c>
      <c r="K89" s="10">
        <f t="shared" si="29"/>
        <v>46.666666666666664</v>
      </c>
      <c r="L89" s="9">
        <f t="shared" si="30"/>
        <v>1.8745714285714287E-5</v>
      </c>
      <c r="M89" s="1">
        <f t="shared" si="31"/>
        <v>0.19555239896442267</v>
      </c>
      <c r="N89" s="1">
        <f t="shared" si="32"/>
        <v>2.5738840042521343E-2</v>
      </c>
      <c r="O89" s="10">
        <f t="shared" si="33"/>
        <v>19.886684640449765</v>
      </c>
      <c r="P89" s="1">
        <f t="shared" si="34"/>
        <v>2.5925925925925926</v>
      </c>
      <c r="Q89" s="1">
        <f t="shared" si="35"/>
        <v>5.0773059436109893</v>
      </c>
      <c r="R89" s="1">
        <f t="shared" si="36"/>
        <v>0.20588235294117646</v>
      </c>
      <c r="S89" s="1">
        <f t="shared" si="37"/>
        <v>0.37061100904535982</v>
      </c>
      <c r="T89" s="9">
        <f t="shared" si="38"/>
        <v>7.000000000000001E-4</v>
      </c>
      <c r="U89" s="1">
        <f t="shared" si="39"/>
        <v>0.41147205982279556</v>
      </c>
      <c r="V89" s="9">
        <f t="shared" si="40"/>
        <v>6.536348636307768E-6</v>
      </c>
      <c r="W89" s="9">
        <f t="shared" si="41"/>
        <v>0.25976392819213862</v>
      </c>
      <c r="X89" s="9"/>
      <c r="Y89" s="9"/>
      <c r="Z89" s="9"/>
      <c r="AA89" s="1"/>
    </row>
    <row r="90" spans="4:27" x14ac:dyDescent="0.25">
      <c r="E90" s="8">
        <v>55</v>
      </c>
      <c r="F90" s="11">
        <v>20</v>
      </c>
      <c r="G90" s="11">
        <v>35</v>
      </c>
      <c r="H90" s="11">
        <v>35</v>
      </c>
      <c r="I90" s="11">
        <v>170</v>
      </c>
      <c r="J90" s="11">
        <f t="shared" si="28"/>
        <v>825.71428571428567</v>
      </c>
      <c r="K90" s="10">
        <f t="shared" si="29"/>
        <v>46.666666666666664</v>
      </c>
      <c r="L90" s="9">
        <f t="shared" si="30"/>
        <v>2.3142857142857142E-5</v>
      </c>
      <c r="M90" s="1">
        <f t="shared" si="31"/>
        <v>0.17599715906798041</v>
      </c>
      <c r="N90" s="1">
        <f t="shared" si="32"/>
        <v>2.5128005750835715E-2</v>
      </c>
      <c r="O90" s="10">
        <f t="shared" si="33"/>
        <v>19.886684640449765</v>
      </c>
      <c r="P90" s="1">
        <f t="shared" si="34"/>
        <v>2.3333333333333335</v>
      </c>
      <c r="Q90" s="1">
        <f t="shared" si="35"/>
        <v>4.8167553477963487</v>
      </c>
      <c r="R90" s="1">
        <f t="shared" si="36"/>
        <v>0.20588235294117646</v>
      </c>
      <c r="S90" s="1">
        <f t="shared" si="37"/>
        <v>0.37061100904535982</v>
      </c>
      <c r="T90" s="9">
        <f t="shared" si="38"/>
        <v>7.000000000000001E-4</v>
      </c>
      <c r="U90" s="1">
        <f t="shared" si="39"/>
        <v>0.41147205982279561</v>
      </c>
      <c r="V90" s="9">
        <f t="shared" si="40"/>
        <v>6.5363486363077688E-6</v>
      </c>
      <c r="W90" s="9">
        <f t="shared" si="41"/>
        <v>0.25976392819213862</v>
      </c>
      <c r="X90" s="9"/>
      <c r="Y90" s="9"/>
      <c r="Z90" s="9"/>
      <c r="AA90" s="1"/>
    </row>
    <row r="91" spans="4:27" x14ac:dyDescent="0.25">
      <c r="E91" s="8">
        <v>56</v>
      </c>
      <c r="F91" s="11">
        <v>24</v>
      </c>
      <c r="G91" s="11">
        <v>35</v>
      </c>
      <c r="H91" s="11">
        <v>35</v>
      </c>
      <c r="I91" s="11">
        <v>170</v>
      </c>
      <c r="J91" s="11">
        <f t="shared" si="28"/>
        <v>825.71428571428567</v>
      </c>
      <c r="K91" s="10">
        <f t="shared" si="29"/>
        <v>46.666666666666664</v>
      </c>
      <c r="L91" s="9">
        <f t="shared" si="30"/>
        <v>3.3325714285714293E-5</v>
      </c>
      <c r="M91" s="1">
        <f t="shared" si="31"/>
        <v>0.146664299223317</v>
      </c>
      <c r="N91" s="1">
        <f t="shared" si="32"/>
        <v>2.4264246892282987E-2</v>
      </c>
      <c r="O91" s="10">
        <f t="shared" si="33"/>
        <v>19.886684640449765</v>
      </c>
      <c r="P91" s="1">
        <f t="shared" si="34"/>
        <v>1.9444444444444444</v>
      </c>
      <c r="Q91" s="1">
        <f t="shared" si="35"/>
        <v>4.3970759299528366</v>
      </c>
      <c r="R91" s="1">
        <f t="shared" si="36"/>
        <v>0.20588235294117646</v>
      </c>
      <c r="S91" s="1">
        <f t="shared" si="37"/>
        <v>0.37061100904535982</v>
      </c>
      <c r="T91" s="9">
        <f t="shared" si="38"/>
        <v>7.000000000000001E-4</v>
      </c>
      <c r="U91" s="1">
        <f t="shared" si="39"/>
        <v>0.41147205982279556</v>
      </c>
      <c r="V91" s="9">
        <f t="shared" si="40"/>
        <v>6.536348636307768E-6</v>
      </c>
      <c r="W91" s="9">
        <f t="shared" si="41"/>
        <v>0.25976392819213862</v>
      </c>
      <c r="X91" s="9"/>
      <c r="Y91" s="9"/>
      <c r="Z91" s="9"/>
      <c r="AA91" s="1"/>
    </row>
    <row r="92" spans="4:27" x14ac:dyDescent="0.25">
      <c r="E92" s="8">
        <v>19</v>
      </c>
      <c r="F92" s="11">
        <v>18</v>
      </c>
      <c r="G92" s="11">
        <v>35</v>
      </c>
      <c r="H92" s="11">
        <v>35</v>
      </c>
      <c r="I92" s="11">
        <v>100</v>
      </c>
      <c r="J92" s="11">
        <f t="shared" si="28"/>
        <v>285.71428571428572</v>
      </c>
      <c r="K92" s="10">
        <f t="shared" si="29"/>
        <v>46.666666666666664</v>
      </c>
      <c r="L92" s="9">
        <f t="shared" si="30"/>
        <v>1.8745714285714287E-5</v>
      </c>
      <c r="M92" s="1">
        <f t="shared" si="31"/>
        <v>0.19555239896442267</v>
      </c>
      <c r="N92" s="1">
        <f t="shared" si="32"/>
        <v>4.375602807228629E-2</v>
      </c>
      <c r="O92" s="10">
        <f t="shared" si="33"/>
        <v>19.886684640449765</v>
      </c>
      <c r="P92" s="1">
        <f t="shared" si="34"/>
        <v>2.5925925925925926</v>
      </c>
      <c r="Q92" s="1">
        <f t="shared" si="35"/>
        <v>5.0773059436109893</v>
      </c>
      <c r="R92" s="1">
        <f t="shared" si="36"/>
        <v>0.35</v>
      </c>
      <c r="S92" s="1">
        <f t="shared" si="37"/>
        <v>0.48321763631261805</v>
      </c>
      <c r="T92" s="9">
        <f t="shared" si="38"/>
        <v>7.000000000000001E-4</v>
      </c>
      <c r="U92" s="1">
        <f t="shared" si="39"/>
        <v>0.69950250169875228</v>
      </c>
      <c r="V92" s="9">
        <f t="shared" si="40"/>
        <v>9.0970125351469125E-6</v>
      </c>
      <c r="W92" s="9">
        <f t="shared" si="41"/>
        <v>0.29597640504036543</v>
      </c>
      <c r="X92" s="9"/>
      <c r="Y92" s="9"/>
      <c r="Z92" s="9"/>
      <c r="AA92" s="1"/>
    </row>
    <row r="93" spans="4:27" x14ac:dyDescent="0.25">
      <c r="E93" s="8">
        <v>85</v>
      </c>
      <c r="F93" s="11">
        <v>9</v>
      </c>
      <c r="G93" s="11">
        <v>35</v>
      </c>
      <c r="H93" s="11">
        <v>35</v>
      </c>
      <c r="I93" s="11">
        <v>250</v>
      </c>
      <c r="J93" s="11">
        <f t="shared" si="28"/>
        <v>1785.7142857142858</v>
      </c>
      <c r="K93" s="10">
        <f t="shared" si="29"/>
        <v>46.666666666666664</v>
      </c>
      <c r="L93" s="9">
        <f t="shared" si="30"/>
        <v>4.6864285714285717E-6</v>
      </c>
      <c r="M93" s="1">
        <f t="shared" si="31"/>
        <v>0.39110479792884534</v>
      </c>
      <c r="N93" s="1">
        <f t="shared" si="32"/>
        <v>2.3123474577474313E-2</v>
      </c>
      <c r="O93" s="10">
        <f t="shared" si="33"/>
        <v>19.886684640449765</v>
      </c>
      <c r="P93" s="1">
        <f t="shared" si="34"/>
        <v>5.1851851851851851</v>
      </c>
      <c r="Q93" s="1">
        <f t="shared" si="35"/>
        <v>7.1803949257721849</v>
      </c>
      <c r="R93" s="1">
        <f t="shared" si="36"/>
        <v>0.14000000000000001</v>
      </c>
      <c r="S93" s="1">
        <f t="shared" si="37"/>
        <v>0.30561366726215217</v>
      </c>
      <c r="T93" s="9">
        <f t="shared" si="38"/>
        <v>7.000000000000001E-4</v>
      </c>
      <c r="U93" s="1">
        <f t="shared" si="39"/>
        <v>0.27980100067950092</v>
      </c>
      <c r="V93" s="9">
        <f t="shared" si="40"/>
        <v>4.8131340137775163E-6</v>
      </c>
      <c r="W93" s="9">
        <f t="shared" si="41"/>
        <v>0.20713592180842713</v>
      </c>
      <c r="X93" s="9"/>
      <c r="Y93" s="9"/>
      <c r="Z93" s="9"/>
      <c r="AA93" s="1"/>
    </row>
    <row r="94" spans="4:27" x14ac:dyDescent="0.25">
      <c r="E94" s="8">
        <v>86</v>
      </c>
      <c r="F94" s="11">
        <v>10</v>
      </c>
      <c r="G94" s="11">
        <v>35</v>
      </c>
      <c r="H94" s="11">
        <v>35</v>
      </c>
      <c r="I94" s="11">
        <v>250</v>
      </c>
      <c r="J94" s="11">
        <f t="shared" si="28"/>
        <v>1785.7142857142858</v>
      </c>
      <c r="K94" s="10">
        <f t="shared" si="29"/>
        <v>46.666666666666664</v>
      </c>
      <c r="L94" s="9">
        <f t="shared" si="30"/>
        <v>5.7857142857142855E-6</v>
      </c>
      <c r="M94" s="1">
        <f t="shared" si="31"/>
        <v>0.35199431813596083</v>
      </c>
      <c r="N94" s="1">
        <f t="shared" si="32"/>
        <v>2.1727853812850625E-2</v>
      </c>
      <c r="O94" s="10">
        <f t="shared" si="33"/>
        <v>19.886684640449765</v>
      </c>
      <c r="P94" s="1">
        <f t="shared" si="34"/>
        <v>4.666666666666667</v>
      </c>
      <c r="Q94" s="1">
        <f t="shared" si="35"/>
        <v>6.8119207394867312</v>
      </c>
      <c r="R94" s="1">
        <f t="shared" si="36"/>
        <v>0.14000000000000001</v>
      </c>
      <c r="S94" s="1">
        <f t="shared" si="37"/>
        <v>0.30561366726215217</v>
      </c>
      <c r="T94" s="9">
        <f t="shared" si="38"/>
        <v>7.000000000000001E-4</v>
      </c>
      <c r="U94" s="1">
        <f t="shared" si="39"/>
        <v>0.27980100067950098</v>
      </c>
      <c r="V94" s="9">
        <f t="shared" si="40"/>
        <v>4.8131340137775171E-6</v>
      </c>
      <c r="W94" s="9">
        <f t="shared" si="41"/>
        <v>0.20713592180842719</v>
      </c>
      <c r="X94" s="9"/>
      <c r="Y94" s="9"/>
      <c r="Z94" s="9"/>
      <c r="AA94" s="1"/>
    </row>
    <row r="95" spans="4:27" x14ac:dyDescent="0.25">
      <c r="E95" s="8">
        <v>88</v>
      </c>
      <c r="F95" s="11">
        <v>15</v>
      </c>
      <c r="G95" s="11">
        <v>35</v>
      </c>
      <c r="H95" s="11">
        <v>35</v>
      </c>
      <c r="I95" s="11">
        <v>250</v>
      </c>
      <c r="J95" s="11">
        <f t="shared" si="28"/>
        <v>1785.7142857142858</v>
      </c>
      <c r="K95" s="10">
        <f t="shared" si="29"/>
        <v>46.666666666666664</v>
      </c>
      <c r="L95" s="9">
        <f t="shared" si="30"/>
        <v>1.3017857142857143E-5</v>
      </c>
      <c r="M95" s="1">
        <f t="shared" si="31"/>
        <v>0.23466287875730721</v>
      </c>
      <c r="N95" s="1">
        <f t="shared" si="32"/>
        <v>1.8396824529531289E-2</v>
      </c>
      <c r="O95" s="10">
        <f t="shared" si="33"/>
        <v>19.886684640449765</v>
      </c>
      <c r="P95" s="1">
        <f t="shared" si="34"/>
        <v>3.1111111111111112</v>
      </c>
      <c r="Q95" s="1">
        <f t="shared" si="35"/>
        <v>5.5619099933415832</v>
      </c>
      <c r="R95" s="1">
        <f t="shared" si="36"/>
        <v>0.14000000000000001</v>
      </c>
      <c r="S95" s="1">
        <f t="shared" si="37"/>
        <v>0.30561366726215217</v>
      </c>
      <c r="T95" s="9">
        <f t="shared" si="38"/>
        <v>7.000000000000001E-4</v>
      </c>
      <c r="U95" s="1">
        <f t="shared" si="39"/>
        <v>0.27980100067950098</v>
      </c>
      <c r="V95" s="9">
        <f t="shared" si="40"/>
        <v>4.8131340137775171E-6</v>
      </c>
      <c r="W95" s="9">
        <f t="shared" si="41"/>
        <v>0.20713592180842719</v>
      </c>
      <c r="X95" s="9"/>
      <c r="Y95" s="9"/>
      <c r="Z95" s="9"/>
      <c r="AA95" s="1"/>
    </row>
    <row r="96" spans="4:27" x14ac:dyDescent="0.25">
      <c r="E96" s="8">
        <v>90</v>
      </c>
      <c r="F96" s="11">
        <v>20</v>
      </c>
      <c r="G96" s="11">
        <v>35</v>
      </c>
      <c r="H96" s="11">
        <v>35</v>
      </c>
      <c r="I96" s="11">
        <v>250</v>
      </c>
      <c r="J96" s="11">
        <f t="shared" si="28"/>
        <v>1785.7142857142858</v>
      </c>
      <c r="K96" s="10">
        <f t="shared" si="29"/>
        <v>46.666666666666664</v>
      </c>
      <c r="L96" s="9">
        <f t="shared" si="30"/>
        <v>2.3142857142857142E-5</v>
      </c>
      <c r="M96" s="1">
        <f t="shared" si="31"/>
        <v>0.17599715906798041</v>
      </c>
      <c r="N96" s="1">
        <f t="shared" si="32"/>
        <v>1.7087043910568287E-2</v>
      </c>
      <c r="O96" s="10">
        <f t="shared" si="33"/>
        <v>19.886684640449765</v>
      </c>
      <c r="P96" s="1">
        <f t="shared" si="34"/>
        <v>2.3333333333333335</v>
      </c>
      <c r="Q96" s="1">
        <f t="shared" si="35"/>
        <v>4.8167553477963487</v>
      </c>
      <c r="R96" s="1">
        <f t="shared" si="36"/>
        <v>0.14000000000000001</v>
      </c>
      <c r="S96" s="1">
        <f t="shared" si="37"/>
        <v>0.30561366726215217</v>
      </c>
      <c r="T96" s="9">
        <f t="shared" si="38"/>
        <v>7.000000000000001E-4</v>
      </c>
      <c r="U96" s="1">
        <f t="shared" si="39"/>
        <v>0.27980100067950098</v>
      </c>
      <c r="V96" s="9">
        <f t="shared" si="40"/>
        <v>4.8131340137775171E-6</v>
      </c>
      <c r="W96" s="9">
        <f t="shared" si="41"/>
        <v>0.20713592180842719</v>
      </c>
      <c r="X96" s="9"/>
      <c r="Y96" s="9"/>
      <c r="Z96" s="9"/>
      <c r="AA96" s="1"/>
    </row>
    <row r="97" spans="5:27" x14ac:dyDescent="0.25">
      <c r="E97" s="8">
        <v>89</v>
      </c>
      <c r="F97" s="11">
        <v>18</v>
      </c>
      <c r="G97" s="11">
        <v>35</v>
      </c>
      <c r="H97" s="11">
        <v>35</v>
      </c>
      <c r="I97" s="11">
        <v>250</v>
      </c>
      <c r="J97" s="11">
        <f t="shared" si="28"/>
        <v>1785.7142857142858</v>
      </c>
      <c r="K97" s="10">
        <f t="shared" si="29"/>
        <v>46.666666666666664</v>
      </c>
      <c r="L97" s="9">
        <f t="shared" si="30"/>
        <v>1.8745714285714287E-5</v>
      </c>
      <c r="M97" s="1">
        <f t="shared" si="31"/>
        <v>0.19555239896442267</v>
      </c>
      <c r="N97" s="1">
        <f t="shared" si="32"/>
        <v>1.7502411228914515E-2</v>
      </c>
      <c r="O97" s="10">
        <f t="shared" si="33"/>
        <v>19.886684640449765</v>
      </c>
      <c r="P97" s="1">
        <f t="shared" si="34"/>
        <v>2.5925925925925926</v>
      </c>
      <c r="Q97" s="1">
        <f t="shared" si="35"/>
        <v>5.0773059436109893</v>
      </c>
      <c r="R97" s="1">
        <f t="shared" si="36"/>
        <v>0.14000000000000001</v>
      </c>
      <c r="S97" s="1">
        <f t="shared" si="37"/>
        <v>0.30561366726215217</v>
      </c>
      <c r="T97" s="9">
        <f t="shared" si="38"/>
        <v>7.000000000000001E-4</v>
      </c>
      <c r="U97" s="1">
        <f t="shared" si="39"/>
        <v>0.27980100067950092</v>
      </c>
      <c r="V97" s="9">
        <f t="shared" si="40"/>
        <v>4.8131340137775163E-6</v>
      </c>
      <c r="W97" s="9">
        <f t="shared" si="41"/>
        <v>0.20713592180842713</v>
      </c>
      <c r="X97" s="9"/>
      <c r="Y97" s="9"/>
      <c r="Z97" s="9"/>
      <c r="AA97" s="1"/>
    </row>
    <row r="98" spans="5:27" x14ac:dyDescent="0.25">
      <c r="E98" s="8">
        <v>159</v>
      </c>
      <c r="F98" s="11">
        <v>18</v>
      </c>
      <c r="G98" s="11">
        <v>35</v>
      </c>
      <c r="H98" s="11">
        <v>35</v>
      </c>
      <c r="I98" s="11">
        <v>550</v>
      </c>
      <c r="J98" s="11">
        <f t="shared" si="28"/>
        <v>8642.8571428571431</v>
      </c>
      <c r="K98" s="10">
        <f t="shared" si="29"/>
        <v>46.666666666666664</v>
      </c>
      <c r="L98" s="9">
        <f t="shared" si="30"/>
        <v>1.8745714285714287E-5</v>
      </c>
      <c r="M98" s="1">
        <f t="shared" si="31"/>
        <v>0.19555239896442267</v>
      </c>
      <c r="N98" s="1">
        <f t="shared" si="32"/>
        <v>7.9556414676884152E-3</v>
      </c>
      <c r="O98" s="10">
        <f t="shared" si="33"/>
        <v>19.886684640449765</v>
      </c>
      <c r="P98" s="1">
        <f t="shared" si="34"/>
        <v>2.5925925925925926</v>
      </c>
      <c r="Q98" s="1">
        <f t="shared" si="35"/>
        <v>5.0773059436109893</v>
      </c>
      <c r="R98" s="1">
        <f t="shared" si="36"/>
        <v>6.363636363636363E-2</v>
      </c>
      <c r="S98" s="1">
        <f t="shared" si="37"/>
        <v>0.20604469243503001</v>
      </c>
      <c r="T98" s="9">
        <f t="shared" si="38"/>
        <v>7.000000000000001E-4</v>
      </c>
      <c r="U98" s="1">
        <f t="shared" si="39"/>
        <v>0.1271822730361368</v>
      </c>
      <c r="V98" s="9">
        <f t="shared" si="40"/>
        <v>2.3818921549763513E-6</v>
      </c>
      <c r="W98" s="9">
        <f t="shared" si="41"/>
        <v>0.11160056213186653</v>
      </c>
      <c r="X98" s="9"/>
      <c r="Y98" s="9"/>
      <c r="Z98" s="9"/>
      <c r="AA98" s="1"/>
    </row>
    <row r="99" spans="5:27" x14ac:dyDescent="0.25">
      <c r="E99" s="8">
        <v>120</v>
      </c>
      <c r="F99" s="11">
        <v>9</v>
      </c>
      <c r="G99" s="11">
        <v>35</v>
      </c>
      <c r="H99" s="11">
        <v>35</v>
      </c>
      <c r="I99" s="11">
        <v>400</v>
      </c>
      <c r="J99" s="11">
        <f t="shared" si="28"/>
        <v>4571.4285714285716</v>
      </c>
      <c r="K99" s="10">
        <f t="shared" si="29"/>
        <v>46.666666666666664</v>
      </c>
      <c r="L99" s="9">
        <f t="shared" si="30"/>
        <v>4.6864285714285717E-6</v>
      </c>
      <c r="M99" s="1">
        <f t="shared" si="31"/>
        <v>0.39110479792884534</v>
      </c>
      <c r="N99" s="1">
        <f t="shared" si="32"/>
        <v>1.4452171610921447E-2</v>
      </c>
      <c r="O99" s="10">
        <f t="shared" si="33"/>
        <v>19.886684640449765</v>
      </c>
      <c r="P99" s="1">
        <f t="shared" si="34"/>
        <v>5.1851851851851851</v>
      </c>
      <c r="Q99" s="1">
        <f t="shared" si="35"/>
        <v>7.1803949257721849</v>
      </c>
      <c r="R99" s="1">
        <f t="shared" si="36"/>
        <v>8.7499999999999994E-2</v>
      </c>
      <c r="S99" s="1">
        <f t="shared" si="37"/>
        <v>0.24160881815630902</v>
      </c>
      <c r="T99" s="9">
        <f t="shared" si="38"/>
        <v>7.000000000000001E-4</v>
      </c>
      <c r="U99" s="1">
        <f t="shared" si="39"/>
        <v>0.17487562542468807</v>
      </c>
      <c r="V99" s="9">
        <f t="shared" si="40"/>
        <v>3.1916976648170021E-6</v>
      </c>
      <c r="W99" s="9">
        <f t="shared" si="41"/>
        <v>0.14573470549176532</v>
      </c>
      <c r="X99" s="9"/>
      <c r="Y99" s="9"/>
      <c r="Z99" s="9"/>
      <c r="AA99" s="1"/>
    </row>
    <row r="100" spans="5:27" x14ac:dyDescent="0.25">
      <c r="E100" s="8">
        <v>121</v>
      </c>
      <c r="F100" s="11">
        <v>10</v>
      </c>
      <c r="G100" s="11">
        <v>35</v>
      </c>
      <c r="H100" s="11">
        <v>35</v>
      </c>
      <c r="I100" s="11">
        <v>400</v>
      </c>
      <c r="J100" s="11">
        <f t="shared" ref="J100:J131" si="42">I100^2/H100</f>
        <v>4571.4285714285716</v>
      </c>
      <c r="K100" s="10">
        <f t="shared" ref="K100:K131" si="43">H100/eff</f>
        <v>46.666666666666664</v>
      </c>
      <c r="L100" s="9">
        <f t="shared" ref="L100:L131" si="44">F100^2*Dmax^2/(2*fs*H100)</f>
        <v>5.7857142857142855E-6</v>
      </c>
      <c r="M100" s="1">
        <f t="shared" ref="M100:M131" si="45">SQRT(2*fs*Lp*H100)/F100</f>
        <v>0.35199431813596083</v>
      </c>
      <c r="N100" s="1">
        <f t="shared" ref="N100:N131" si="46">F100*M100/(I100*(1-M100))</f>
        <v>1.3579908633031641E-2</v>
      </c>
      <c r="O100" s="10">
        <f t="shared" ref="O100:O131" si="47">SQRT(2*H100/(fs*Lp))</f>
        <v>19.886684640449765</v>
      </c>
      <c r="P100" s="1">
        <f t="shared" ref="P100:P131" si="48">H100/(F100*eff)</f>
        <v>4.666666666666667</v>
      </c>
      <c r="Q100" s="1">
        <f t="shared" ref="Q100:Q131" si="49">O100*SQRT(M100/3)</f>
        <v>6.8119207394867312</v>
      </c>
      <c r="R100" s="1">
        <f t="shared" ref="R100:R131" si="50">H100/I100</f>
        <v>8.7499999999999994E-2</v>
      </c>
      <c r="S100" s="1">
        <f t="shared" ref="S100:S131" si="51">SQRT(2*R100*n*O100/3)</f>
        <v>0.24160881815630902</v>
      </c>
      <c r="T100" s="9">
        <f t="shared" ref="T100:T131" si="52">0.5*Lp*O100^2</f>
        <v>7.000000000000001E-4</v>
      </c>
      <c r="U100" s="1">
        <f t="shared" ref="U100:U131" si="53">F100*M100/(n*I100)</f>
        <v>0.1748756254246881</v>
      </c>
      <c r="V100" s="9">
        <f t="shared" ref="V100:V131" si="54">(n*O100-R100)*U100/(fs*n*O100)</f>
        <v>3.191697664817003E-6</v>
      </c>
      <c r="W100" s="9">
        <f t="shared" ref="W100:W131" si="55">(n*O100-R100)*V100/(2*Cout)</f>
        <v>0.14573470549176537</v>
      </c>
      <c r="X100" s="9"/>
      <c r="Y100" s="9"/>
      <c r="Z100" s="9"/>
      <c r="AA100" s="1"/>
    </row>
    <row r="101" spans="5:27" x14ac:dyDescent="0.25">
      <c r="E101" s="8">
        <v>122</v>
      </c>
      <c r="F101" s="11">
        <v>12</v>
      </c>
      <c r="G101" s="11">
        <v>35</v>
      </c>
      <c r="H101" s="11">
        <v>35</v>
      </c>
      <c r="I101" s="11">
        <v>400</v>
      </c>
      <c r="J101" s="11">
        <f t="shared" si="42"/>
        <v>4571.4285714285716</v>
      </c>
      <c r="K101" s="10">
        <f t="shared" si="43"/>
        <v>46.666666666666664</v>
      </c>
      <c r="L101" s="9">
        <f t="shared" si="44"/>
        <v>8.3314285714285732E-6</v>
      </c>
      <c r="M101" s="1">
        <f t="shared" si="45"/>
        <v>0.293328598446634</v>
      </c>
      <c r="N101" s="1">
        <f t="shared" si="46"/>
        <v>1.2452545743404443E-2</v>
      </c>
      <c r="O101" s="10">
        <f t="shared" si="47"/>
        <v>19.886684640449765</v>
      </c>
      <c r="P101" s="1">
        <f t="shared" si="48"/>
        <v>3.8888888888888888</v>
      </c>
      <c r="Q101" s="1">
        <f t="shared" si="49"/>
        <v>6.218404414923592</v>
      </c>
      <c r="R101" s="1">
        <f t="shared" si="50"/>
        <v>8.7499999999999994E-2</v>
      </c>
      <c r="S101" s="1">
        <f t="shared" si="51"/>
        <v>0.24160881815630902</v>
      </c>
      <c r="T101" s="9">
        <f t="shared" si="52"/>
        <v>7.000000000000001E-4</v>
      </c>
      <c r="U101" s="1">
        <f t="shared" si="53"/>
        <v>0.17487562542468807</v>
      </c>
      <c r="V101" s="9">
        <f t="shared" si="54"/>
        <v>3.1916976648170021E-6</v>
      </c>
      <c r="W101" s="9">
        <f t="shared" si="55"/>
        <v>0.14573470549176532</v>
      </c>
      <c r="X101" s="9"/>
      <c r="Y101" s="9"/>
      <c r="Z101" s="9"/>
      <c r="AA101" s="1"/>
    </row>
    <row r="102" spans="5:27" x14ac:dyDescent="0.25">
      <c r="E102" s="8">
        <v>123</v>
      </c>
      <c r="F102" s="11">
        <v>15</v>
      </c>
      <c r="G102" s="11">
        <v>35</v>
      </c>
      <c r="H102" s="11">
        <v>35</v>
      </c>
      <c r="I102" s="11">
        <v>400</v>
      </c>
      <c r="J102" s="11">
        <f t="shared" si="42"/>
        <v>4571.4285714285716</v>
      </c>
      <c r="K102" s="10">
        <f t="shared" si="43"/>
        <v>46.666666666666664</v>
      </c>
      <c r="L102" s="9">
        <f t="shared" si="44"/>
        <v>1.3017857142857143E-5</v>
      </c>
      <c r="M102" s="1">
        <f t="shared" si="45"/>
        <v>0.23466287875730721</v>
      </c>
      <c r="N102" s="1">
        <f t="shared" si="46"/>
        <v>1.1498015330957055E-2</v>
      </c>
      <c r="O102" s="10">
        <f t="shared" si="47"/>
        <v>19.886684640449765</v>
      </c>
      <c r="P102" s="1">
        <f t="shared" si="48"/>
        <v>3.1111111111111112</v>
      </c>
      <c r="Q102" s="1">
        <f t="shared" si="49"/>
        <v>5.5619099933415832</v>
      </c>
      <c r="R102" s="1">
        <f t="shared" si="50"/>
        <v>8.7499999999999994E-2</v>
      </c>
      <c r="S102" s="1">
        <f t="shared" si="51"/>
        <v>0.24160881815630902</v>
      </c>
      <c r="T102" s="9">
        <f t="shared" si="52"/>
        <v>7.000000000000001E-4</v>
      </c>
      <c r="U102" s="1">
        <f t="shared" si="53"/>
        <v>0.1748756254246881</v>
      </c>
      <c r="V102" s="9">
        <f t="shared" si="54"/>
        <v>3.191697664817003E-6</v>
      </c>
      <c r="W102" s="9">
        <f t="shared" si="55"/>
        <v>0.14573470549176537</v>
      </c>
      <c r="X102" s="9"/>
      <c r="Y102" s="9"/>
      <c r="Z102" s="9"/>
      <c r="AA102" s="1"/>
    </row>
    <row r="103" spans="5:27" x14ac:dyDescent="0.25">
      <c r="E103" s="8">
        <v>124</v>
      </c>
      <c r="F103" s="11">
        <v>18</v>
      </c>
      <c r="G103" s="11">
        <v>35</v>
      </c>
      <c r="H103" s="11">
        <v>35</v>
      </c>
      <c r="I103" s="11">
        <v>400</v>
      </c>
      <c r="J103" s="11">
        <f t="shared" si="42"/>
        <v>4571.4285714285716</v>
      </c>
      <c r="K103" s="10">
        <f t="shared" si="43"/>
        <v>46.666666666666664</v>
      </c>
      <c r="L103" s="9">
        <f t="shared" si="44"/>
        <v>1.8745714285714287E-5</v>
      </c>
      <c r="M103" s="1">
        <f t="shared" si="45"/>
        <v>0.19555239896442267</v>
      </c>
      <c r="N103" s="1">
        <f t="shared" si="46"/>
        <v>1.0939007018071573E-2</v>
      </c>
      <c r="O103" s="10">
        <f t="shared" si="47"/>
        <v>19.886684640449765</v>
      </c>
      <c r="P103" s="1">
        <f t="shared" si="48"/>
        <v>2.5925925925925926</v>
      </c>
      <c r="Q103" s="1">
        <f t="shared" si="49"/>
        <v>5.0773059436109893</v>
      </c>
      <c r="R103" s="1">
        <f t="shared" si="50"/>
        <v>8.7499999999999994E-2</v>
      </c>
      <c r="S103" s="1">
        <f t="shared" si="51"/>
        <v>0.24160881815630902</v>
      </c>
      <c r="T103" s="9">
        <f t="shared" si="52"/>
        <v>7.000000000000001E-4</v>
      </c>
      <c r="U103" s="1">
        <f t="shared" si="53"/>
        <v>0.17487562542468807</v>
      </c>
      <c r="V103" s="9">
        <f t="shared" si="54"/>
        <v>3.1916976648170021E-6</v>
      </c>
      <c r="W103" s="9">
        <f t="shared" si="55"/>
        <v>0.14573470549176532</v>
      </c>
      <c r="X103" s="9"/>
      <c r="Y103" s="9"/>
      <c r="Z103" s="9"/>
      <c r="AA103" s="1"/>
    </row>
    <row r="104" spans="5:27" x14ac:dyDescent="0.25">
      <c r="E104" s="8">
        <v>125</v>
      </c>
      <c r="F104" s="11">
        <v>20</v>
      </c>
      <c r="G104" s="11">
        <v>35</v>
      </c>
      <c r="H104" s="11">
        <v>35</v>
      </c>
      <c r="I104" s="11">
        <v>400</v>
      </c>
      <c r="J104" s="11">
        <f t="shared" si="42"/>
        <v>4571.4285714285716</v>
      </c>
      <c r="K104" s="10">
        <f t="shared" si="43"/>
        <v>46.666666666666664</v>
      </c>
      <c r="L104" s="9">
        <f t="shared" si="44"/>
        <v>2.3142857142857142E-5</v>
      </c>
      <c r="M104" s="1">
        <f t="shared" si="45"/>
        <v>0.17599715906798041</v>
      </c>
      <c r="N104" s="1">
        <f t="shared" si="46"/>
        <v>1.0679402444105179E-2</v>
      </c>
      <c r="O104" s="10">
        <f t="shared" si="47"/>
        <v>19.886684640449765</v>
      </c>
      <c r="P104" s="1">
        <f t="shared" si="48"/>
        <v>2.3333333333333335</v>
      </c>
      <c r="Q104" s="1">
        <f t="shared" si="49"/>
        <v>4.8167553477963487</v>
      </c>
      <c r="R104" s="1">
        <f t="shared" si="50"/>
        <v>8.7499999999999994E-2</v>
      </c>
      <c r="S104" s="1">
        <f t="shared" si="51"/>
        <v>0.24160881815630902</v>
      </c>
      <c r="T104" s="9">
        <f t="shared" si="52"/>
        <v>7.000000000000001E-4</v>
      </c>
      <c r="U104" s="1">
        <f t="shared" si="53"/>
        <v>0.1748756254246881</v>
      </c>
      <c r="V104" s="9">
        <f t="shared" si="54"/>
        <v>3.191697664817003E-6</v>
      </c>
      <c r="W104" s="9">
        <f t="shared" si="55"/>
        <v>0.14573470549176537</v>
      </c>
      <c r="X104" s="9"/>
      <c r="Y104" s="9"/>
      <c r="Z104" s="9"/>
      <c r="AA104" s="1"/>
    </row>
    <row r="105" spans="5:27" x14ac:dyDescent="0.25">
      <c r="E105" s="8">
        <v>126</v>
      </c>
      <c r="F105" s="11">
        <v>24</v>
      </c>
      <c r="G105" s="11">
        <v>35</v>
      </c>
      <c r="H105" s="11">
        <v>35</v>
      </c>
      <c r="I105" s="11">
        <v>400</v>
      </c>
      <c r="J105" s="11">
        <f t="shared" si="42"/>
        <v>4571.4285714285716</v>
      </c>
      <c r="K105" s="10">
        <f t="shared" si="43"/>
        <v>46.666666666666664</v>
      </c>
      <c r="L105" s="9">
        <f t="shared" si="44"/>
        <v>3.3325714285714293E-5</v>
      </c>
      <c r="M105" s="1">
        <f t="shared" si="45"/>
        <v>0.146664299223317</v>
      </c>
      <c r="N105" s="1">
        <f t="shared" si="46"/>
        <v>1.0312304929220268E-2</v>
      </c>
      <c r="O105" s="10">
        <f t="shared" si="47"/>
        <v>19.886684640449765</v>
      </c>
      <c r="P105" s="1">
        <f t="shared" si="48"/>
        <v>1.9444444444444444</v>
      </c>
      <c r="Q105" s="1">
        <f t="shared" si="49"/>
        <v>4.3970759299528366</v>
      </c>
      <c r="R105" s="1">
        <f t="shared" si="50"/>
        <v>8.7499999999999994E-2</v>
      </c>
      <c r="S105" s="1">
        <f t="shared" si="51"/>
        <v>0.24160881815630902</v>
      </c>
      <c r="T105" s="9">
        <f t="shared" si="52"/>
        <v>7.000000000000001E-4</v>
      </c>
      <c r="U105" s="1">
        <f t="shared" si="53"/>
        <v>0.17487562542468807</v>
      </c>
      <c r="V105" s="9">
        <f t="shared" si="54"/>
        <v>3.1916976648170021E-6</v>
      </c>
      <c r="W105" s="9">
        <f t="shared" si="55"/>
        <v>0.14573470549176532</v>
      </c>
      <c r="X105" s="9"/>
      <c r="Y105" s="9"/>
      <c r="Z105" s="9"/>
      <c r="AA105" s="1"/>
    </row>
    <row r="106" spans="5:27" x14ac:dyDescent="0.25">
      <c r="E106" s="8">
        <v>21</v>
      </c>
      <c r="F106" s="11">
        <v>24</v>
      </c>
      <c r="G106" s="11">
        <v>35</v>
      </c>
      <c r="H106" s="11">
        <v>35</v>
      </c>
      <c r="I106" s="11">
        <v>100</v>
      </c>
      <c r="J106" s="11">
        <f t="shared" si="42"/>
        <v>285.71428571428572</v>
      </c>
      <c r="K106" s="10">
        <f t="shared" si="43"/>
        <v>46.666666666666664</v>
      </c>
      <c r="L106" s="9">
        <f t="shared" si="44"/>
        <v>3.3325714285714293E-5</v>
      </c>
      <c r="M106" s="1">
        <f t="shared" si="45"/>
        <v>0.146664299223317</v>
      </c>
      <c r="N106" s="1">
        <f t="shared" si="46"/>
        <v>4.1249219716881072E-2</v>
      </c>
      <c r="O106" s="10">
        <f t="shared" si="47"/>
        <v>19.886684640449765</v>
      </c>
      <c r="P106" s="1">
        <f t="shared" si="48"/>
        <v>1.9444444444444444</v>
      </c>
      <c r="Q106" s="1">
        <f t="shared" si="49"/>
        <v>4.3970759299528366</v>
      </c>
      <c r="R106" s="1">
        <f t="shared" si="50"/>
        <v>0.35</v>
      </c>
      <c r="S106" s="1">
        <f t="shared" si="51"/>
        <v>0.48321763631261805</v>
      </c>
      <c r="T106" s="9">
        <f t="shared" si="52"/>
        <v>7.000000000000001E-4</v>
      </c>
      <c r="U106" s="1">
        <f t="shared" si="53"/>
        <v>0.69950250169875228</v>
      </c>
      <c r="V106" s="9">
        <f t="shared" si="54"/>
        <v>9.0970125351469125E-6</v>
      </c>
      <c r="W106" s="9">
        <f t="shared" si="55"/>
        <v>0.29597640504036543</v>
      </c>
      <c r="X106" s="9"/>
      <c r="Y106" s="9"/>
      <c r="Z106" s="9"/>
      <c r="AA106" s="1"/>
    </row>
    <row r="107" spans="5:27" x14ac:dyDescent="0.25">
      <c r="E107" s="8">
        <v>155</v>
      </c>
      <c r="F107" s="11">
        <v>9</v>
      </c>
      <c r="G107" s="11">
        <v>35</v>
      </c>
      <c r="H107" s="11">
        <v>35</v>
      </c>
      <c r="I107" s="11">
        <v>550</v>
      </c>
      <c r="J107" s="11">
        <f t="shared" si="42"/>
        <v>8642.8571428571431</v>
      </c>
      <c r="K107" s="10">
        <f t="shared" si="43"/>
        <v>46.666666666666664</v>
      </c>
      <c r="L107" s="9">
        <f t="shared" si="44"/>
        <v>4.6864285714285717E-6</v>
      </c>
      <c r="M107" s="1">
        <f t="shared" si="45"/>
        <v>0.39110479792884534</v>
      </c>
      <c r="N107" s="1">
        <f t="shared" si="46"/>
        <v>1.0510670262488326E-2</v>
      </c>
      <c r="O107" s="10">
        <f t="shared" si="47"/>
        <v>19.886684640449765</v>
      </c>
      <c r="P107" s="1">
        <f t="shared" si="48"/>
        <v>5.1851851851851851</v>
      </c>
      <c r="Q107" s="1">
        <f t="shared" si="49"/>
        <v>7.1803949257721849</v>
      </c>
      <c r="R107" s="1">
        <f t="shared" si="50"/>
        <v>6.363636363636363E-2</v>
      </c>
      <c r="S107" s="1">
        <f t="shared" si="51"/>
        <v>0.20604469243503001</v>
      </c>
      <c r="T107" s="9">
        <f t="shared" si="52"/>
        <v>7.000000000000001E-4</v>
      </c>
      <c r="U107" s="1">
        <f t="shared" si="53"/>
        <v>0.1271822730361368</v>
      </c>
      <c r="V107" s="9">
        <f t="shared" si="54"/>
        <v>2.3818921549763513E-6</v>
      </c>
      <c r="W107" s="9">
        <f t="shared" si="55"/>
        <v>0.11160056213186653</v>
      </c>
      <c r="X107" s="9"/>
      <c r="Y107" s="9"/>
      <c r="Z107" s="9"/>
      <c r="AA107" s="1"/>
    </row>
    <row r="108" spans="5:27" x14ac:dyDescent="0.25">
      <c r="E108" s="8">
        <v>156</v>
      </c>
      <c r="F108" s="11">
        <v>10</v>
      </c>
      <c r="G108" s="11">
        <v>35</v>
      </c>
      <c r="H108" s="11">
        <v>35</v>
      </c>
      <c r="I108" s="11">
        <v>550</v>
      </c>
      <c r="J108" s="11">
        <f t="shared" si="42"/>
        <v>8642.8571428571431</v>
      </c>
      <c r="K108" s="10">
        <f t="shared" si="43"/>
        <v>46.666666666666664</v>
      </c>
      <c r="L108" s="9">
        <f t="shared" si="44"/>
        <v>5.7857142857142855E-6</v>
      </c>
      <c r="M108" s="1">
        <f t="shared" si="45"/>
        <v>0.35199431813596083</v>
      </c>
      <c r="N108" s="1">
        <f t="shared" si="46"/>
        <v>9.876297187659375E-3</v>
      </c>
      <c r="O108" s="10">
        <f t="shared" si="47"/>
        <v>19.886684640449765</v>
      </c>
      <c r="P108" s="1">
        <f t="shared" si="48"/>
        <v>4.666666666666667</v>
      </c>
      <c r="Q108" s="1">
        <f t="shared" si="49"/>
        <v>6.8119207394867312</v>
      </c>
      <c r="R108" s="1">
        <f t="shared" si="50"/>
        <v>6.363636363636363E-2</v>
      </c>
      <c r="S108" s="1">
        <f t="shared" si="51"/>
        <v>0.20604469243503001</v>
      </c>
      <c r="T108" s="9">
        <f t="shared" si="52"/>
        <v>7.000000000000001E-4</v>
      </c>
      <c r="U108" s="1">
        <f t="shared" si="53"/>
        <v>0.1271822730361368</v>
      </c>
      <c r="V108" s="9">
        <f t="shared" si="54"/>
        <v>2.3818921549763513E-6</v>
      </c>
      <c r="W108" s="9">
        <f t="shared" si="55"/>
        <v>0.11160056213186653</v>
      </c>
      <c r="X108" s="9"/>
      <c r="Y108" s="9"/>
      <c r="Z108" s="9"/>
      <c r="AA108" s="1"/>
    </row>
    <row r="109" spans="5:27" x14ac:dyDescent="0.25">
      <c r="E109" s="8">
        <v>158</v>
      </c>
      <c r="F109" s="11">
        <v>15</v>
      </c>
      <c r="G109" s="11">
        <v>35</v>
      </c>
      <c r="H109" s="11">
        <v>35</v>
      </c>
      <c r="I109" s="11">
        <v>550</v>
      </c>
      <c r="J109" s="11">
        <f t="shared" si="42"/>
        <v>8642.8571428571431</v>
      </c>
      <c r="K109" s="10">
        <f t="shared" si="43"/>
        <v>46.666666666666664</v>
      </c>
      <c r="L109" s="9">
        <f t="shared" si="44"/>
        <v>1.3017857142857143E-5</v>
      </c>
      <c r="M109" s="1">
        <f t="shared" si="45"/>
        <v>0.23466287875730721</v>
      </c>
      <c r="N109" s="1">
        <f t="shared" si="46"/>
        <v>8.3621929679687686E-3</v>
      </c>
      <c r="O109" s="10">
        <f t="shared" si="47"/>
        <v>19.886684640449765</v>
      </c>
      <c r="P109" s="1">
        <f t="shared" si="48"/>
        <v>3.1111111111111112</v>
      </c>
      <c r="Q109" s="1">
        <f t="shared" si="49"/>
        <v>5.5619099933415832</v>
      </c>
      <c r="R109" s="1">
        <f t="shared" si="50"/>
        <v>6.363636363636363E-2</v>
      </c>
      <c r="S109" s="1">
        <f t="shared" si="51"/>
        <v>0.20604469243503001</v>
      </c>
      <c r="T109" s="9">
        <f t="shared" si="52"/>
        <v>7.000000000000001E-4</v>
      </c>
      <c r="U109" s="1">
        <f t="shared" si="53"/>
        <v>0.1271822730361368</v>
      </c>
      <c r="V109" s="9">
        <f t="shared" si="54"/>
        <v>2.3818921549763513E-6</v>
      </c>
      <c r="W109" s="9">
        <f t="shared" si="55"/>
        <v>0.11160056213186653</v>
      </c>
      <c r="X109" s="9"/>
      <c r="Y109" s="9"/>
      <c r="Z109" s="9"/>
      <c r="AA109" s="1"/>
    </row>
    <row r="110" spans="5:27" x14ac:dyDescent="0.25">
      <c r="E110" s="8">
        <v>91</v>
      </c>
      <c r="F110" s="11">
        <v>24</v>
      </c>
      <c r="G110" s="11">
        <v>35</v>
      </c>
      <c r="H110" s="11">
        <v>35</v>
      </c>
      <c r="I110" s="11">
        <v>250</v>
      </c>
      <c r="J110" s="11">
        <f t="shared" si="42"/>
        <v>1785.7142857142858</v>
      </c>
      <c r="K110" s="10">
        <f t="shared" si="43"/>
        <v>46.666666666666664</v>
      </c>
      <c r="L110" s="9">
        <f t="shared" si="44"/>
        <v>3.3325714285714293E-5</v>
      </c>
      <c r="M110" s="1">
        <f t="shared" si="45"/>
        <v>0.146664299223317</v>
      </c>
      <c r="N110" s="1">
        <f t="shared" si="46"/>
        <v>1.6499687886752427E-2</v>
      </c>
      <c r="O110" s="10">
        <f t="shared" si="47"/>
        <v>19.886684640449765</v>
      </c>
      <c r="P110" s="1">
        <f t="shared" si="48"/>
        <v>1.9444444444444444</v>
      </c>
      <c r="Q110" s="1">
        <f t="shared" si="49"/>
        <v>4.3970759299528366</v>
      </c>
      <c r="R110" s="1">
        <f t="shared" si="50"/>
        <v>0.14000000000000001</v>
      </c>
      <c r="S110" s="1">
        <f t="shared" si="51"/>
        <v>0.30561366726215217</v>
      </c>
      <c r="T110" s="9">
        <f t="shared" si="52"/>
        <v>7.000000000000001E-4</v>
      </c>
      <c r="U110" s="1">
        <f t="shared" si="53"/>
        <v>0.27980100067950092</v>
      </c>
      <c r="V110" s="9">
        <f t="shared" si="54"/>
        <v>4.8131340137775163E-6</v>
      </c>
      <c r="W110" s="9">
        <f t="shared" si="55"/>
        <v>0.20713592180842713</v>
      </c>
      <c r="X110" s="9"/>
      <c r="Y110" s="9"/>
      <c r="Z110" s="9"/>
      <c r="AA110" s="1"/>
    </row>
    <row r="111" spans="5:27" x14ac:dyDescent="0.25">
      <c r="E111" s="8">
        <v>160</v>
      </c>
      <c r="F111" s="11">
        <v>20</v>
      </c>
      <c r="G111" s="11">
        <v>35</v>
      </c>
      <c r="H111" s="11">
        <v>35</v>
      </c>
      <c r="I111" s="11">
        <v>550</v>
      </c>
      <c r="J111" s="11">
        <f t="shared" si="42"/>
        <v>8642.8571428571431</v>
      </c>
      <c r="K111" s="10">
        <f t="shared" si="43"/>
        <v>46.666666666666664</v>
      </c>
      <c r="L111" s="9">
        <f t="shared" si="44"/>
        <v>2.3142857142857142E-5</v>
      </c>
      <c r="M111" s="1">
        <f t="shared" si="45"/>
        <v>0.17599715906798041</v>
      </c>
      <c r="N111" s="1">
        <f t="shared" si="46"/>
        <v>7.7668381411674023E-3</v>
      </c>
      <c r="O111" s="10">
        <f t="shared" si="47"/>
        <v>19.886684640449765</v>
      </c>
      <c r="P111" s="1">
        <f t="shared" si="48"/>
        <v>2.3333333333333335</v>
      </c>
      <c r="Q111" s="1">
        <f t="shared" si="49"/>
        <v>4.8167553477963487</v>
      </c>
      <c r="R111" s="1">
        <f t="shared" si="50"/>
        <v>6.363636363636363E-2</v>
      </c>
      <c r="S111" s="1">
        <f t="shared" si="51"/>
        <v>0.20604469243503001</v>
      </c>
      <c r="T111" s="9">
        <f t="shared" si="52"/>
        <v>7.000000000000001E-4</v>
      </c>
      <c r="U111" s="1">
        <f t="shared" si="53"/>
        <v>0.1271822730361368</v>
      </c>
      <c r="V111" s="9">
        <f t="shared" si="54"/>
        <v>2.3818921549763513E-6</v>
      </c>
      <c r="W111" s="9">
        <f t="shared" si="55"/>
        <v>0.11160056213186653</v>
      </c>
      <c r="X111" s="9"/>
      <c r="Y111" s="9"/>
      <c r="Z111" s="9"/>
      <c r="AA111" s="1"/>
    </row>
    <row r="112" spans="5:27" x14ac:dyDescent="0.25">
      <c r="E112" s="8">
        <v>161</v>
      </c>
      <c r="F112" s="11">
        <v>24</v>
      </c>
      <c r="G112" s="11">
        <v>35</v>
      </c>
      <c r="H112" s="11">
        <v>35</v>
      </c>
      <c r="I112" s="11">
        <v>550</v>
      </c>
      <c r="J112" s="11">
        <f t="shared" si="42"/>
        <v>8642.8571428571431</v>
      </c>
      <c r="K112" s="10">
        <f t="shared" si="43"/>
        <v>46.666666666666664</v>
      </c>
      <c r="L112" s="9">
        <f t="shared" si="44"/>
        <v>3.3325714285714293E-5</v>
      </c>
      <c r="M112" s="1">
        <f t="shared" si="45"/>
        <v>0.146664299223317</v>
      </c>
      <c r="N112" s="1">
        <f t="shared" si="46"/>
        <v>7.4998581303420131E-3</v>
      </c>
      <c r="O112" s="10">
        <f t="shared" si="47"/>
        <v>19.886684640449765</v>
      </c>
      <c r="P112" s="1">
        <f t="shared" si="48"/>
        <v>1.9444444444444444</v>
      </c>
      <c r="Q112" s="1">
        <f t="shared" si="49"/>
        <v>4.3970759299528366</v>
      </c>
      <c r="R112" s="1">
        <f t="shared" si="50"/>
        <v>6.363636363636363E-2</v>
      </c>
      <c r="S112" s="1">
        <f t="shared" si="51"/>
        <v>0.20604469243503001</v>
      </c>
      <c r="T112" s="9">
        <f t="shared" si="52"/>
        <v>7.000000000000001E-4</v>
      </c>
      <c r="U112" s="1">
        <f t="shared" si="53"/>
        <v>0.1271822730361368</v>
      </c>
      <c r="V112" s="9">
        <f t="shared" si="54"/>
        <v>2.3818921549763513E-6</v>
      </c>
      <c r="W112" s="9">
        <f t="shared" si="55"/>
        <v>0.11160056213186653</v>
      </c>
      <c r="X112" s="9"/>
      <c r="Y112" s="9"/>
      <c r="Z112" s="9"/>
      <c r="AA112" s="1"/>
    </row>
    <row r="113" spans="5:27" x14ac:dyDescent="0.25">
      <c r="E113" s="8">
        <v>24</v>
      </c>
      <c r="F113" s="11">
        <v>12</v>
      </c>
      <c r="G113" s="11">
        <v>55</v>
      </c>
      <c r="H113" s="21">
        <v>35</v>
      </c>
      <c r="I113" s="11">
        <v>100</v>
      </c>
      <c r="J113" s="11">
        <f t="shared" si="42"/>
        <v>285.71428571428572</v>
      </c>
      <c r="K113" s="10">
        <f t="shared" si="43"/>
        <v>46.666666666666664</v>
      </c>
      <c r="L113" s="9">
        <f t="shared" si="44"/>
        <v>8.3314285714285732E-6</v>
      </c>
      <c r="M113" s="1">
        <f t="shared" si="45"/>
        <v>0.293328598446634</v>
      </c>
      <c r="N113" s="1">
        <f t="shared" si="46"/>
        <v>4.9810182973617771E-2</v>
      </c>
      <c r="O113" s="10">
        <f t="shared" si="47"/>
        <v>19.886684640449765</v>
      </c>
      <c r="P113" s="1">
        <f t="shared" si="48"/>
        <v>3.8888888888888888</v>
      </c>
      <c r="Q113" s="1">
        <f t="shared" si="49"/>
        <v>6.218404414923592</v>
      </c>
      <c r="R113" s="1">
        <f t="shared" si="50"/>
        <v>0.35</v>
      </c>
      <c r="S113" s="1">
        <f t="shared" si="51"/>
        <v>0.48321763631261805</v>
      </c>
      <c r="T113" s="9">
        <f t="shared" si="52"/>
        <v>7.000000000000001E-4</v>
      </c>
      <c r="U113" s="1">
        <f t="shared" si="53"/>
        <v>0.69950250169875228</v>
      </c>
      <c r="V113" s="9">
        <f t="shared" si="54"/>
        <v>9.0970125351469125E-6</v>
      </c>
      <c r="W113" s="9">
        <f t="shared" si="55"/>
        <v>0.29597640504036543</v>
      </c>
      <c r="X113" s="9"/>
      <c r="Y113" s="9"/>
      <c r="Z113" s="9"/>
      <c r="AA113" s="1"/>
    </row>
    <row r="114" spans="5:27" x14ac:dyDescent="0.25">
      <c r="E114" s="8">
        <v>31</v>
      </c>
      <c r="F114" s="11">
        <v>12</v>
      </c>
      <c r="G114" s="11">
        <v>70</v>
      </c>
      <c r="H114" s="21">
        <v>35</v>
      </c>
      <c r="I114" s="11">
        <v>100</v>
      </c>
      <c r="J114" s="11">
        <f t="shared" si="42"/>
        <v>285.71428571428572</v>
      </c>
      <c r="K114" s="10">
        <f t="shared" si="43"/>
        <v>46.666666666666664</v>
      </c>
      <c r="L114" s="9">
        <f t="shared" si="44"/>
        <v>8.3314285714285732E-6</v>
      </c>
      <c r="M114" s="1">
        <f t="shared" si="45"/>
        <v>0.293328598446634</v>
      </c>
      <c r="N114" s="1">
        <f t="shared" si="46"/>
        <v>4.9810182973617771E-2</v>
      </c>
      <c r="O114" s="10">
        <f t="shared" si="47"/>
        <v>19.886684640449765</v>
      </c>
      <c r="P114" s="1">
        <f t="shared" si="48"/>
        <v>3.8888888888888888</v>
      </c>
      <c r="Q114" s="1">
        <f t="shared" si="49"/>
        <v>6.218404414923592</v>
      </c>
      <c r="R114" s="1">
        <f t="shared" si="50"/>
        <v>0.35</v>
      </c>
      <c r="S114" s="1">
        <f t="shared" si="51"/>
        <v>0.48321763631261805</v>
      </c>
      <c r="T114" s="9">
        <f t="shared" si="52"/>
        <v>7.000000000000001E-4</v>
      </c>
      <c r="U114" s="1">
        <f t="shared" si="53"/>
        <v>0.69950250169875228</v>
      </c>
      <c r="V114" s="9">
        <f t="shared" si="54"/>
        <v>9.0970125351469125E-6</v>
      </c>
      <c r="W114" s="9">
        <f t="shared" si="55"/>
        <v>0.29597640504036543</v>
      </c>
      <c r="X114" s="9"/>
      <c r="Y114" s="9"/>
      <c r="Z114" s="11"/>
      <c r="AA114" s="1"/>
    </row>
    <row r="115" spans="5:27" x14ac:dyDescent="0.25">
      <c r="E115" s="8">
        <v>25</v>
      </c>
      <c r="F115" s="11">
        <v>24</v>
      </c>
      <c r="G115" s="11">
        <v>55</v>
      </c>
      <c r="H115" s="21">
        <v>40</v>
      </c>
      <c r="I115" s="11">
        <v>100</v>
      </c>
      <c r="J115" s="11">
        <f t="shared" si="42"/>
        <v>250</v>
      </c>
      <c r="K115" s="10">
        <f t="shared" si="43"/>
        <v>53.333333333333336</v>
      </c>
      <c r="L115" s="9">
        <f t="shared" si="44"/>
        <v>2.9160000000000002E-5</v>
      </c>
      <c r="M115" s="1">
        <f t="shared" si="45"/>
        <v>0.15679073101855648</v>
      </c>
      <c r="N115" s="1">
        <f t="shared" si="46"/>
        <v>4.4626852228401764E-2</v>
      </c>
      <c r="O115" s="10">
        <f t="shared" si="47"/>
        <v>21.259760138109357</v>
      </c>
      <c r="P115" s="1">
        <f t="shared" si="48"/>
        <v>2.2222222222222223</v>
      </c>
      <c r="Q115" s="1">
        <f t="shared" si="49"/>
        <v>4.8602423508514878</v>
      </c>
      <c r="R115" s="1">
        <f t="shared" si="50"/>
        <v>0.4</v>
      </c>
      <c r="S115" s="1">
        <f t="shared" si="51"/>
        <v>0.53411741304865956</v>
      </c>
      <c r="T115" s="9">
        <f t="shared" si="52"/>
        <v>8.0000000000000015E-4</v>
      </c>
      <c r="U115" s="1">
        <f t="shared" si="53"/>
        <v>0.74779962929942523</v>
      </c>
      <c r="V115" s="9">
        <f t="shared" si="54"/>
        <v>9.3639497301849259E-6</v>
      </c>
      <c r="W115" s="9">
        <f t="shared" si="55"/>
        <v>0.3136011536765313</v>
      </c>
      <c r="X115" s="9"/>
      <c r="Y115" s="9"/>
      <c r="Z115" s="9"/>
      <c r="AA115" s="1"/>
    </row>
    <row r="116" spans="5:27" x14ac:dyDescent="0.25">
      <c r="E116" s="8">
        <v>32</v>
      </c>
      <c r="F116" s="11">
        <v>15</v>
      </c>
      <c r="G116" s="11">
        <v>70</v>
      </c>
      <c r="H116" s="21">
        <v>40</v>
      </c>
      <c r="I116" s="11">
        <v>100</v>
      </c>
      <c r="J116" s="11">
        <f t="shared" si="42"/>
        <v>250</v>
      </c>
      <c r="K116" s="10">
        <f t="shared" si="43"/>
        <v>53.333333333333336</v>
      </c>
      <c r="L116" s="9">
        <f t="shared" si="44"/>
        <v>1.1390625000000001E-5</v>
      </c>
      <c r="M116" s="1">
        <f t="shared" si="45"/>
        <v>0.25086516962969035</v>
      </c>
      <c r="N116" s="1">
        <f t="shared" si="46"/>
        <v>5.0230978348520437E-2</v>
      </c>
      <c r="O116" s="10">
        <f t="shared" si="47"/>
        <v>21.259760138109357</v>
      </c>
      <c r="P116" s="1">
        <f t="shared" si="48"/>
        <v>3.5555555555555554</v>
      </c>
      <c r="Q116" s="1">
        <f t="shared" si="49"/>
        <v>6.1477743236407623</v>
      </c>
      <c r="R116" s="1">
        <f t="shared" si="50"/>
        <v>0.4</v>
      </c>
      <c r="S116" s="1">
        <f t="shared" si="51"/>
        <v>0.53411741304865956</v>
      </c>
      <c r="T116" s="9">
        <f t="shared" si="52"/>
        <v>8.0000000000000015E-4</v>
      </c>
      <c r="U116" s="1">
        <f t="shared" si="53"/>
        <v>0.74779962929942512</v>
      </c>
      <c r="V116" s="9">
        <f t="shared" si="54"/>
        <v>9.3639497301849226E-6</v>
      </c>
      <c r="W116" s="9">
        <f t="shared" si="55"/>
        <v>0.31360115367653119</v>
      </c>
      <c r="X116" s="9"/>
      <c r="Y116" s="9"/>
      <c r="Z116" s="11"/>
      <c r="AA116" s="1"/>
    </row>
    <row r="117" spans="5:27" x14ac:dyDescent="0.25">
      <c r="E117" s="8">
        <v>26</v>
      </c>
      <c r="F117" s="11">
        <v>24</v>
      </c>
      <c r="G117" s="11">
        <v>55</v>
      </c>
      <c r="H117" s="21">
        <v>43</v>
      </c>
      <c r="I117" s="11">
        <v>100</v>
      </c>
      <c r="J117" s="11">
        <f t="shared" si="42"/>
        <v>232.55813953488371</v>
      </c>
      <c r="K117" s="10">
        <f t="shared" si="43"/>
        <v>57.333333333333336</v>
      </c>
      <c r="L117" s="9">
        <f t="shared" si="44"/>
        <v>2.7125581395348842E-5</v>
      </c>
      <c r="M117" s="1">
        <f t="shared" si="45"/>
        <v>0.16256408992558391</v>
      </c>
      <c r="N117" s="1">
        <f t="shared" si="46"/>
        <v>4.6589095491108283E-2</v>
      </c>
      <c r="O117" s="10">
        <f t="shared" si="47"/>
        <v>22.042588464485956</v>
      </c>
      <c r="P117" s="1">
        <f t="shared" si="48"/>
        <v>2.3888888888888888</v>
      </c>
      <c r="Q117" s="1">
        <f t="shared" si="49"/>
        <v>5.131144836445416</v>
      </c>
      <c r="R117" s="1">
        <f t="shared" si="50"/>
        <v>0.43</v>
      </c>
      <c r="S117" s="1">
        <f t="shared" si="51"/>
        <v>0.56388830189508321</v>
      </c>
      <c r="T117" s="9">
        <f t="shared" si="52"/>
        <v>8.6000000000000009E-4</v>
      </c>
      <c r="U117" s="1">
        <f t="shared" si="53"/>
        <v>0.77533515785038709</v>
      </c>
      <c r="V117" s="9">
        <f t="shared" si="54"/>
        <v>9.4952570870188942E-6</v>
      </c>
      <c r="W117" s="9">
        <f t="shared" si="55"/>
        <v>0.32245785475342731</v>
      </c>
      <c r="X117" s="9"/>
      <c r="Y117" s="9"/>
      <c r="Z117" s="9"/>
      <c r="AA117" s="1"/>
    </row>
    <row r="118" spans="5:27" x14ac:dyDescent="0.25">
      <c r="E118" s="8">
        <v>33</v>
      </c>
      <c r="F118" s="11">
        <v>18</v>
      </c>
      <c r="G118" s="11">
        <v>70</v>
      </c>
      <c r="H118" s="21">
        <v>43</v>
      </c>
      <c r="I118" s="11">
        <v>100</v>
      </c>
      <c r="J118" s="11">
        <f t="shared" si="42"/>
        <v>232.55813953488371</v>
      </c>
      <c r="K118" s="10">
        <f t="shared" si="43"/>
        <v>57.333333333333336</v>
      </c>
      <c r="L118" s="9">
        <f t="shared" si="44"/>
        <v>1.5258139534883721E-5</v>
      </c>
      <c r="M118" s="1">
        <f t="shared" si="45"/>
        <v>0.21675211990077856</v>
      </c>
      <c r="N118" s="1">
        <f t="shared" si="46"/>
        <v>4.9812304091008446E-2</v>
      </c>
      <c r="O118" s="10">
        <f t="shared" si="47"/>
        <v>22.042588464485956</v>
      </c>
      <c r="P118" s="1">
        <f t="shared" si="48"/>
        <v>3.1851851851851851</v>
      </c>
      <c r="Q118" s="1">
        <f t="shared" si="49"/>
        <v>5.9249357051454385</v>
      </c>
      <c r="R118" s="1">
        <f t="shared" si="50"/>
        <v>0.43</v>
      </c>
      <c r="S118" s="1">
        <f t="shared" si="51"/>
        <v>0.56388830189508321</v>
      </c>
      <c r="T118" s="9">
        <f t="shared" si="52"/>
        <v>8.6000000000000009E-4</v>
      </c>
      <c r="U118" s="1">
        <f t="shared" si="53"/>
        <v>0.77533515785038709</v>
      </c>
      <c r="V118" s="9">
        <f t="shared" si="54"/>
        <v>9.4952570870188942E-6</v>
      </c>
      <c r="W118" s="9">
        <f t="shared" si="55"/>
        <v>0.32245785475342731</v>
      </c>
      <c r="X118" s="9"/>
      <c r="Y118" s="9"/>
      <c r="Z118" s="11"/>
      <c r="AA118" s="1"/>
    </row>
    <row r="119" spans="5:27" x14ac:dyDescent="0.25">
      <c r="E119" s="8">
        <v>27</v>
      </c>
      <c r="F119" s="11">
        <v>20</v>
      </c>
      <c r="G119" s="11">
        <v>55</v>
      </c>
      <c r="H119" s="21">
        <v>45</v>
      </c>
      <c r="I119" s="11">
        <v>100</v>
      </c>
      <c r="J119" s="11">
        <f t="shared" si="42"/>
        <v>222.22222222222223</v>
      </c>
      <c r="K119" s="10">
        <f t="shared" si="43"/>
        <v>60</v>
      </c>
      <c r="L119" s="9">
        <f t="shared" si="44"/>
        <v>1.8E-5</v>
      </c>
      <c r="M119" s="1">
        <f t="shared" si="45"/>
        <v>0.19956202043475108</v>
      </c>
      <c r="N119" s="1">
        <f t="shared" si="46"/>
        <v>4.9863206276928904E-2</v>
      </c>
      <c r="O119" s="10">
        <f t="shared" si="47"/>
        <v>22.549380840084869</v>
      </c>
      <c r="P119" s="1">
        <f t="shared" si="48"/>
        <v>3</v>
      </c>
      <c r="Q119" s="1">
        <f t="shared" si="49"/>
        <v>5.8158465643556401</v>
      </c>
      <c r="R119" s="1">
        <f t="shared" si="50"/>
        <v>0.45</v>
      </c>
      <c r="S119" s="1">
        <f t="shared" si="51"/>
        <v>0.58344662061163344</v>
      </c>
      <c r="T119" s="9">
        <f t="shared" si="52"/>
        <v>9.0000000000000019E-4</v>
      </c>
      <c r="U119" s="1">
        <f t="shared" si="53"/>
        <v>0.7931612832696151</v>
      </c>
      <c r="V119" s="9">
        <f t="shared" si="54"/>
        <v>9.5721774526132751E-6</v>
      </c>
      <c r="W119" s="9">
        <f t="shared" si="55"/>
        <v>0.32770342984487449</v>
      </c>
      <c r="X119" s="9"/>
      <c r="Y119" s="9"/>
      <c r="Z119" s="9"/>
      <c r="AA119" s="1"/>
    </row>
    <row r="120" spans="5:27" x14ac:dyDescent="0.25">
      <c r="E120" s="8">
        <v>34</v>
      </c>
      <c r="F120" s="11">
        <v>20</v>
      </c>
      <c r="G120" s="11">
        <v>70</v>
      </c>
      <c r="H120" s="21">
        <v>45</v>
      </c>
      <c r="I120" s="11">
        <v>100</v>
      </c>
      <c r="J120" s="11">
        <f t="shared" si="42"/>
        <v>222.22222222222223</v>
      </c>
      <c r="K120" s="10">
        <f t="shared" si="43"/>
        <v>60</v>
      </c>
      <c r="L120" s="9">
        <f t="shared" si="44"/>
        <v>1.8E-5</v>
      </c>
      <c r="M120" s="1">
        <f t="shared" si="45"/>
        <v>0.19956202043475108</v>
      </c>
      <c r="N120" s="1">
        <f t="shared" si="46"/>
        <v>4.9863206276928904E-2</v>
      </c>
      <c r="O120" s="10">
        <f t="shared" si="47"/>
        <v>22.549380840084869</v>
      </c>
      <c r="P120" s="1">
        <f t="shared" si="48"/>
        <v>3</v>
      </c>
      <c r="Q120" s="1">
        <f t="shared" si="49"/>
        <v>5.8158465643556401</v>
      </c>
      <c r="R120" s="1">
        <f t="shared" si="50"/>
        <v>0.45</v>
      </c>
      <c r="S120" s="1">
        <f t="shared" si="51"/>
        <v>0.58344662061163344</v>
      </c>
      <c r="T120" s="9">
        <f t="shared" si="52"/>
        <v>9.0000000000000019E-4</v>
      </c>
      <c r="U120" s="1">
        <f t="shared" si="53"/>
        <v>0.7931612832696151</v>
      </c>
      <c r="V120" s="9">
        <f t="shared" si="54"/>
        <v>9.5721774526132751E-6</v>
      </c>
      <c r="W120" s="9">
        <f t="shared" si="55"/>
        <v>0.32770342984487449</v>
      </c>
      <c r="X120" s="9"/>
      <c r="Y120" s="9"/>
      <c r="Z120" s="11"/>
      <c r="AA120" s="1"/>
    </row>
    <row r="121" spans="5:27" x14ac:dyDescent="0.25">
      <c r="E121" s="8">
        <v>57</v>
      </c>
      <c r="F121" s="11">
        <v>9</v>
      </c>
      <c r="G121" s="11">
        <v>55</v>
      </c>
      <c r="H121" s="21">
        <v>46</v>
      </c>
      <c r="I121" s="11">
        <v>170</v>
      </c>
      <c r="J121" s="11">
        <f t="shared" si="42"/>
        <v>628.26086956521738</v>
      </c>
      <c r="K121" s="10">
        <f t="shared" si="43"/>
        <v>61.333333333333336</v>
      </c>
      <c r="L121" s="9">
        <f t="shared" si="44"/>
        <v>3.5657608695652175E-6</v>
      </c>
      <c r="M121" s="1">
        <f t="shared" si="45"/>
        <v>0.44837153905777405</v>
      </c>
      <c r="N121" s="1">
        <f t="shared" si="46"/>
        <v>4.3031348913907759E-2</v>
      </c>
      <c r="O121" s="10">
        <f t="shared" si="47"/>
        <v>22.798552833446141</v>
      </c>
      <c r="P121" s="1">
        <f t="shared" si="48"/>
        <v>6.8148148148148149</v>
      </c>
      <c r="Q121" s="1">
        <f t="shared" si="49"/>
        <v>8.8138503392588596</v>
      </c>
      <c r="R121" s="1">
        <f t="shared" si="50"/>
        <v>0.27058823529411763</v>
      </c>
      <c r="S121" s="1">
        <f t="shared" si="51"/>
        <v>0.45492065569864598</v>
      </c>
      <c r="T121" s="9">
        <f t="shared" si="52"/>
        <v>9.2000000000000003E-4</v>
      </c>
      <c r="U121" s="1">
        <f t="shared" si="53"/>
        <v>0.47172103671196713</v>
      </c>
      <c r="V121" s="9">
        <f t="shared" si="54"/>
        <v>7.2092133694732119E-6</v>
      </c>
      <c r="W121" s="9">
        <f t="shared" si="55"/>
        <v>0.31599789153800673</v>
      </c>
      <c r="X121" s="9"/>
      <c r="Y121" s="9"/>
      <c r="Z121" s="9"/>
      <c r="AA121" s="1"/>
    </row>
    <row r="122" spans="5:27" x14ac:dyDescent="0.25">
      <c r="E122" s="8">
        <v>92</v>
      </c>
      <c r="F122" s="11">
        <v>9</v>
      </c>
      <c r="G122" s="11">
        <v>55</v>
      </c>
      <c r="H122" s="21">
        <v>46</v>
      </c>
      <c r="I122" s="11">
        <v>250</v>
      </c>
      <c r="J122" s="11">
        <f t="shared" si="42"/>
        <v>1358.695652173913</v>
      </c>
      <c r="K122" s="10">
        <f t="shared" si="43"/>
        <v>61.333333333333336</v>
      </c>
      <c r="L122" s="9">
        <f t="shared" si="44"/>
        <v>3.5657608695652175E-6</v>
      </c>
      <c r="M122" s="1">
        <f t="shared" si="45"/>
        <v>0.44837153905777405</v>
      </c>
      <c r="N122" s="1">
        <f t="shared" si="46"/>
        <v>2.9261317261457274E-2</v>
      </c>
      <c r="O122" s="10">
        <f t="shared" si="47"/>
        <v>22.798552833446141</v>
      </c>
      <c r="P122" s="1">
        <f t="shared" si="48"/>
        <v>6.8148148148148149</v>
      </c>
      <c r="Q122" s="1">
        <f t="shared" si="49"/>
        <v>8.8138503392588596</v>
      </c>
      <c r="R122" s="1">
        <f t="shared" si="50"/>
        <v>0.184</v>
      </c>
      <c r="S122" s="1">
        <f t="shared" si="51"/>
        <v>0.37513718294415244</v>
      </c>
      <c r="T122" s="9">
        <f t="shared" si="52"/>
        <v>9.2000000000000003E-4</v>
      </c>
      <c r="U122" s="1">
        <f t="shared" si="53"/>
        <v>0.32077030496413761</v>
      </c>
      <c r="V122" s="9">
        <f t="shared" si="54"/>
        <v>5.3864702138148934E-6</v>
      </c>
      <c r="W122" s="9">
        <f t="shared" si="55"/>
        <v>0.25942273791950171</v>
      </c>
      <c r="X122" s="9"/>
      <c r="Y122" s="9"/>
      <c r="Z122" s="9"/>
      <c r="AA122" s="1"/>
    </row>
    <row r="123" spans="5:27" x14ac:dyDescent="0.25">
      <c r="E123" s="8">
        <v>127</v>
      </c>
      <c r="F123" s="11">
        <v>9</v>
      </c>
      <c r="G123" s="11">
        <v>55</v>
      </c>
      <c r="H123" s="21">
        <v>46</v>
      </c>
      <c r="I123" s="11">
        <v>400</v>
      </c>
      <c r="J123" s="11">
        <f t="shared" si="42"/>
        <v>3478.2608695652175</v>
      </c>
      <c r="K123" s="10">
        <f t="shared" si="43"/>
        <v>61.333333333333336</v>
      </c>
      <c r="L123" s="9">
        <f t="shared" si="44"/>
        <v>3.5657608695652175E-6</v>
      </c>
      <c r="M123" s="1">
        <f t="shared" si="45"/>
        <v>0.44837153905777405</v>
      </c>
      <c r="N123" s="1">
        <f t="shared" si="46"/>
        <v>1.8288323288410797E-2</v>
      </c>
      <c r="O123" s="10">
        <f t="shared" si="47"/>
        <v>22.798552833446141</v>
      </c>
      <c r="P123" s="1">
        <f t="shared" si="48"/>
        <v>6.8148148148148149</v>
      </c>
      <c r="Q123" s="1">
        <f t="shared" si="49"/>
        <v>8.8138503392588596</v>
      </c>
      <c r="R123" s="1">
        <f t="shared" si="50"/>
        <v>0.115</v>
      </c>
      <c r="S123" s="1">
        <f t="shared" si="51"/>
        <v>0.29657198328069789</v>
      </c>
      <c r="T123" s="9">
        <f t="shared" si="52"/>
        <v>9.2000000000000003E-4</v>
      </c>
      <c r="U123" s="1">
        <f t="shared" si="53"/>
        <v>0.20048144060258599</v>
      </c>
      <c r="V123" s="9">
        <f t="shared" si="54"/>
        <v>3.607700731790837E-6</v>
      </c>
      <c r="W123" s="9">
        <f t="shared" si="55"/>
        <v>0.18620035512290525</v>
      </c>
      <c r="X123" s="9"/>
      <c r="Y123" s="9"/>
      <c r="Z123" s="9"/>
      <c r="AA123" s="1"/>
    </row>
    <row r="124" spans="5:27" x14ac:dyDescent="0.25">
      <c r="E124" s="8">
        <v>162</v>
      </c>
      <c r="F124" s="11">
        <v>9</v>
      </c>
      <c r="G124" s="11">
        <v>55</v>
      </c>
      <c r="H124" s="21">
        <v>46</v>
      </c>
      <c r="I124" s="11">
        <v>550</v>
      </c>
      <c r="J124" s="11">
        <f t="shared" si="42"/>
        <v>6576.086956521739</v>
      </c>
      <c r="K124" s="10">
        <f t="shared" si="43"/>
        <v>61.333333333333336</v>
      </c>
      <c r="L124" s="9">
        <f t="shared" si="44"/>
        <v>3.5657608695652175E-6</v>
      </c>
      <c r="M124" s="1">
        <f t="shared" si="45"/>
        <v>0.44837153905777405</v>
      </c>
      <c r="N124" s="1">
        <f t="shared" si="46"/>
        <v>1.3300598755207853E-2</v>
      </c>
      <c r="O124" s="10">
        <f t="shared" si="47"/>
        <v>22.798552833446141</v>
      </c>
      <c r="P124" s="1">
        <f t="shared" si="48"/>
        <v>6.8148148148148149</v>
      </c>
      <c r="Q124" s="1">
        <f t="shared" si="49"/>
        <v>8.8138503392588596</v>
      </c>
      <c r="R124" s="1">
        <f t="shared" si="50"/>
        <v>8.3636363636363634E-2</v>
      </c>
      <c r="S124" s="1">
        <f t="shared" si="51"/>
        <v>0.25291743714579562</v>
      </c>
      <c r="T124" s="9">
        <f t="shared" si="52"/>
        <v>9.2000000000000003E-4</v>
      </c>
      <c r="U124" s="1">
        <f t="shared" si="53"/>
        <v>0.145804684074608</v>
      </c>
      <c r="V124" s="9">
        <f t="shared" si="54"/>
        <v>2.7035036225111969E-6</v>
      </c>
      <c r="W124" s="9">
        <f t="shared" si="55"/>
        <v>0.14377259309234958</v>
      </c>
      <c r="X124" s="9"/>
      <c r="Y124" s="9"/>
      <c r="Z124" s="9"/>
      <c r="AA124" s="1"/>
    </row>
    <row r="125" spans="5:27" x14ac:dyDescent="0.25">
      <c r="E125" s="8">
        <v>169</v>
      </c>
      <c r="F125" s="11">
        <v>9</v>
      </c>
      <c r="G125" s="11">
        <v>70</v>
      </c>
      <c r="H125" s="21">
        <v>46</v>
      </c>
      <c r="I125" s="11">
        <v>550</v>
      </c>
      <c r="J125" s="11">
        <f t="shared" si="42"/>
        <v>6576.086956521739</v>
      </c>
      <c r="K125" s="10">
        <f t="shared" si="43"/>
        <v>61.333333333333336</v>
      </c>
      <c r="L125" s="9">
        <f t="shared" si="44"/>
        <v>3.5657608695652175E-6</v>
      </c>
      <c r="M125" s="1">
        <f t="shared" si="45"/>
        <v>0.44837153905777405</v>
      </c>
      <c r="N125" s="1">
        <f t="shared" si="46"/>
        <v>1.3300598755207853E-2</v>
      </c>
      <c r="O125" s="10">
        <f t="shared" si="47"/>
        <v>22.798552833446141</v>
      </c>
      <c r="P125" s="1">
        <f t="shared" si="48"/>
        <v>6.8148148148148149</v>
      </c>
      <c r="Q125" s="1">
        <f t="shared" si="49"/>
        <v>8.8138503392588596</v>
      </c>
      <c r="R125" s="1">
        <f t="shared" si="50"/>
        <v>8.3636363636363634E-2</v>
      </c>
      <c r="S125" s="1">
        <f t="shared" si="51"/>
        <v>0.25291743714579562</v>
      </c>
      <c r="T125" s="9">
        <f t="shared" si="52"/>
        <v>9.2000000000000003E-4</v>
      </c>
      <c r="U125" s="1">
        <f t="shared" si="53"/>
        <v>0.145804684074608</v>
      </c>
      <c r="V125" s="9">
        <f t="shared" si="54"/>
        <v>2.7035036225111969E-6</v>
      </c>
      <c r="W125" s="9">
        <f t="shared" si="55"/>
        <v>0.14377259309234958</v>
      </c>
      <c r="X125" s="9"/>
      <c r="Y125" s="9"/>
      <c r="Z125" s="11"/>
      <c r="AA125" s="1"/>
    </row>
    <row r="126" spans="5:27" x14ac:dyDescent="0.25">
      <c r="E126" s="8">
        <v>64</v>
      </c>
      <c r="F126" s="11">
        <v>9</v>
      </c>
      <c r="G126" s="11">
        <v>70</v>
      </c>
      <c r="H126" s="21">
        <v>46</v>
      </c>
      <c r="I126" s="11">
        <v>170</v>
      </c>
      <c r="J126" s="11">
        <f t="shared" si="42"/>
        <v>628.26086956521738</v>
      </c>
      <c r="K126" s="10">
        <f t="shared" si="43"/>
        <v>61.333333333333336</v>
      </c>
      <c r="L126" s="9">
        <f t="shared" si="44"/>
        <v>3.5657608695652175E-6</v>
      </c>
      <c r="M126" s="1">
        <f t="shared" si="45"/>
        <v>0.44837153905777405</v>
      </c>
      <c r="N126" s="1">
        <f t="shared" si="46"/>
        <v>4.3031348913907759E-2</v>
      </c>
      <c r="O126" s="10">
        <f t="shared" si="47"/>
        <v>22.798552833446141</v>
      </c>
      <c r="P126" s="1">
        <f t="shared" si="48"/>
        <v>6.8148148148148149</v>
      </c>
      <c r="Q126" s="1">
        <f t="shared" si="49"/>
        <v>8.8138503392588596</v>
      </c>
      <c r="R126" s="1">
        <f t="shared" si="50"/>
        <v>0.27058823529411763</v>
      </c>
      <c r="S126" s="1">
        <f t="shared" si="51"/>
        <v>0.45492065569864598</v>
      </c>
      <c r="T126" s="9">
        <f t="shared" si="52"/>
        <v>9.2000000000000003E-4</v>
      </c>
      <c r="U126" s="1">
        <f t="shared" si="53"/>
        <v>0.47172103671196713</v>
      </c>
      <c r="V126" s="9">
        <f t="shared" si="54"/>
        <v>7.2092133694732119E-6</v>
      </c>
      <c r="W126" s="9">
        <f t="shared" si="55"/>
        <v>0.31599789153800673</v>
      </c>
      <c r="X126" s="9"/>
      <c r="Y126" s="9"/>
      <c r="Z126" s="11"/>
      <c r="AA126" s="1"/>
    </row>
    <row r="127" spans="5:27" x14ac:dyDescent="0.25">
      <c r="E127" s="8">
        <v>99</v>
      </c>
      <c r="F127" s="11">
        <v>9</v>
      </c>
      <c r="G127" s="11">
        <v>70</v>
      </c>
      <c r="H127" s="21">
        <v>46</v>
      </c>
      <c r="I127" s="11">
        <v>250</v>
      </c>
      <c r="J127" s="11">
        <f t="shared" si="42"/>
        <v>1358.695652173913</v>
      </c>
      <c r="K127" s="10">
        <f t="shared" si="43"/>
        <v>61.333333333333336</v>
      </c>
      <c r="L127" s="9">
        <f t="shared" si="44"/>
        <v>3.5657608695652175E-6</v>
      </c>
      <c r="M127" s="1">
        <f t="shared" si="45"/>
        <v>0.44837153905777405</v>
      </c>
      <c r="N127" s="1">
        <f t="shared" si="46"/>
        <v>2.9261317261457274E-2</v>
      </c>
      <c r="O127" s="10">
        <f t="shared" si="47"/>
        <v>22.798552833446141</v>
      </c>
      <c r="P127" s="1">
        <f t="shared" si="48"/>
        <v>6.8148148148148149</v>
      </c>
      <c r="Q127" s="1">
        <f t="shared" si="49"/>
        <v>8.8138503392588596</v>
      </c>
      <c r="R127" s="1">
        <f t="shared" si="50"/>
        <v>0.184</v>
      </c>
      <c r="S127" s="1">
        <f t="shared" si="51"/>
        <v>0.37513718294415244</v>
      </c>
      <c r="T127" s="9">
        <f t="shared" si="52"/>
        <v>9.2000000000000003E-4</v>
      </c>
      <c r="U127" s="1">
        <f t="shared" si="53"/>
        <v>0.32077030496413761</v>
      </c>
      <c r="V127" s="9">
        <f t="shared" si="54"/>
        <v>5.3864702138148934E-6</v>
      </c>
      <c r="W127" s="9">
        <f t="shared" si="55"/>
        <v>0.25942273791950171</v>
      </c>
      <c r="X127" s="9"/>
      <c r="Y127" s="9"/>
      <c r="Z127" s="11"/>
      <c r="AA127" s="1"/>
    </row>
    <row r="128" spans="5:27" x14ac:dyDescent="0.25">
      <c r="E128" s="8">
        <v>134</v>
      </c>
      <c r="F128" s="11">
        <v>9</v>
      </c>
      <c r="G128" s="11">
        <v>70</v>
      </c>
      <c r="H128" s="21">
        <v>46</v>
      </c>
      <c r="I128" s="11">
        <v>400</v>
      </c>
      <c r="J128" s="11">
        <f t="shared" si="42"/>
        <v>3478.2608695652175</v>
      </c>
      <c r="K128" s="10">
        <f t="shared" si="43"/>
        <v>61.333333333333336</v>
      </c>
      <c r="L128" s="9">
        <f t="shared" si="44"/>
        <v>3.5657608695652175E-6</v>
      </c>
      <c r="M128" s="1">
        <f t="shared" si="45"/>
        <v>0.44837153905777405</v>
      </c>
      <c r="N128" s="1">
        <f t="shared" si="46"/>
        <v>1.8288323288410797E-2</v>
      </c>
      <c r="O128" s="10">
        <f t="shared" si="47"/>
        <v>22.798552833446141</v>
      </c>
      <c r="P128" s="1">
        <f t="shared" si="48"/>
        <v>6.8148148148148149</v>
      </c>
      <c r="Q128" s="1">
        <f t="shared" si="49"/>
        <v>8.8138503392588596</v>
      </c>
      <c r="R128" s="1">
        <f t="shared" si="50"/>
        <v>0.115</v>
      </c>
      <c r="S128" s="1">
        <f t="shared" si="51"/>
        <v>0.29657198328069789</v>
      </c>
      <c r="T128" s="9">
        <f t="shared" si="52"/>
        <v>9.2000000000000003E-4</v>
      </c>
      <c r="U128" s="1">
        <f t="shared" si="53"/>
        <v>0.20048144060258599</v>
      </c>
      <c r="V128" s="9">
        <f t="shared" si="54"/>
        <v>3.607700731790837E-6</v>
      </c>
      <c r="W128" s="9">
        <f t="shared" si="55"/>
        <v>0.18620035512290525</v>
      </c>
      <c r="X128" s="9"/>
      <c r="Y128" s="9"/>
      <c r="Z128" s="11"/>
      <c r="AA128" s="1"/>
    </row>
    <row r="129" spans="5:27" x14ac:dyDescent="0.25">
      <c r="E129" s="8">
        <v>28</v>
      </c>
      <c r="F129" s="11">
        <v>24</v>
      </c>
      <c r="G129" s="11">
        <v>55</v>
      </c>
      <c r="H129" s="21">
        <v>48</v>
      </c>
      <c r="I129" s="11">
        <v>100</v>
      </c>
      <c r="J129" s="11">
        <f t="shared" si="42"/>
        <v>208.33333333333334</v>
      </c>
      <c r="K129" s="10">
        <f t="shared" si="43"/>
        <v>64</v>
      </c>
      <c r="L129" s="9">
        <f t="shared" si="44"/>
        <v>2.4300000000000005E-5</v>
      </c>
      <c r="M129" s="1">
        <f t="shared" si="45"/>
        <v>0.17175564037317667</v>
      </c>
      <c r="N129" s="1">
        <f t="shared" si="46"/>
        <v>4.9769555579147244E-2</v>
      </c>
      <c r="O129" s="10">
        <f t="shared" si="47"/>
        <v>23.288900389583279</v>
      </c>
      <c r="P129" s="1">
        <f t="shared" si="48"/>
        <v>2.6666666666666665</v>
      </c>
      <c r="Q129" s="1">
        <f t="shared" si="49"/>
        <v>5.5724202269849537</v>
      </c>
      <c r="R129" s="1">
        <f t="shared" si="50"/>
        <v>0.48</v>
      </c>
      <c r="S129" s="1">
        <f t="shared" si="51"/>
        <v>0.61238235898582127</v>
      </c>
      <c r="T129" s="9">
        <f t="shared" si="52"/>
        <v>9.6000000000000002E-4</v>
      </c>
      <c r="U129" s="1">
        <f t="shared" si="53"/>
        <v>0.81917345092259264</v>
      </c>
      <c r="V129" s="9">
        <f t="shared" si="54"/>
        <v>9.6730175914875593E-6</v>
      </c>
      <c r="W129" s="9">
        <f t="shared" si="55"/>
        <v>0.33464432136145406</v>
      </c>
      <c r="X129" s="9"/>
      <c r="Y129" s="9"/>
      <c r="Z129" s="9"/>
      <c r="AA129" s="1"/>
    </row>
    <row r="130" spans="5:27" x14ac:dyDescent="0.25">
      <c r="E130" s="8">
        <v>35</v>
      </c>
      <c r="F130" s="11">
        <v>24</v>
      </c>
      <c r="G130" s="11">
        <v>70</v>
      </c>
      <c r="H130" s="21">
        <v>48</v>
      </c>
      <c r="I130" s="11">
        <v>100</v>
      </c>
      <c r="J130" s="11">
        <f t="shared" si="42"/>
        <v>208.33333333333334</v>
      </c>
      <c r="K130" s="10">
        <f t="shared" si="43"/>
        <v>64</v>
      </c>
      <c r="L130" s="9">
        <f t="shared" si="44"/>
        <v>2.4300000000000005E-5</v>
      </c>
      <c r="M130" s="1">
        <f t="shared" si="45"/>
        <v>0.17175564037317667</v>
      </c>
      <c r="N130" s="1">
        <f t="shared" si="46"/>
        <v>4.9769555579147244E-2</v>
      </c>
      <c r="O130" s="10">
        <f t="shared" si="47"/>
        <v>23.288900389583279</v>
      </c>
      <c r="P130" s="1">
        <f t="shared" si="48"/>
        <v>2.6666666666666665</v>
      </c>
      <c r="Q130" s="1">
        <f t="shared" si="49"/>
        <v>5.5724202269849537</v>
      </c>
      <c r="R130" s="1">
        <f t="shared" si="50"/>
        <v>0.48</v>
      </c>
      <c r="S130" s="1">
        <f t="shared" si="51"/>
        <v>0.61238235898582127</v>
      </c>
      <c r="T130" s="9">
        <f t="shared" si="52"/>
        <v>9.6000000000000002E-4</v>
      </c>
      <c r="U130" s="1">
        <f t="shared" si="53"/>
        <v>0.81917345092259264</v>
      </c>
      <c r="V130" s="9">
        <f t="shared" si="54"/>
        <v>9.6730175914875593E-6</v>
      </c>
      <c r="W130" s="9">
        <f t="shared" si="55"/>
        <v>0.33464432136145406</v>
      </c>
      <c r="X130" s="9"/>
      <c r="Y130" s="9"/>
      <c r="Z130" s="11"/>
      <c r="AA130" s="1"/>
    </row>
    <row r="131" spans="5:27" x14ac:dyDescent="0.25">
      <c r="E131" s="8">
        <v>58</v>
      </c>
      <c r="F131" s="11">
        <v>10</v>
      </c>
      <c r="G131" s="11">
        <v>55</v>
      </c>
      <c r="H131" s="11">
        <v>55</v>
      </c>
      <c r="I131" s="11">
        <v>170</v>
      </c>
      <c r="J131" s="11">
        <f t="shared" si="42"/>
        <v>525.4545454545455</v>
      </c>
      <c r="K131" s="10">
        <f t="shared" si="43"/>
        <v>73.333333333333329</v>
      </c>
      <c r="L131" s="9">
        <f t="shared" si="44"/>
        <v>3.681818181818182E-6</v>
      </c>
      <c r="M131" s="1">
        <f t="shared" si="45"/>
        <v>0.44124822945820413</v>
      </c>
      <c r="N131" s="1">
        <f t="shared" si="46"/>
        <v>4.6453147125163734E-2</v>
      </c>
      <c r="O131" s="10">
        <f t="shared" si="47"/>
        <v>24.929278500463511</v>
      </c>
      <c r="P131" s="1">
        <f t="shared" si="48"/>
        <v>7.333333333333333</v>
      </c>
      <c r="Q131" s="1">
        <f t="shared" si="49"/>
        <v>9.5607193506398627</v>
      </c>
      <c r="R131" s="1">
        <f t="shared" si="50"/>
        <v>0.3235294117647059</v>
      </c>
      <c r="S131" s="1">
        <f t="shared" si="51"/>
        <v>0.52016281181908186</v>
      </c>
      <c r="T131" s="9">
        <f t="shared" si="52"/>
        <v>1.0999999999999998E-3</v>
      </c>
      <c r="U131" s="1">
        <f t="shared" si="53"/>
        <v>0.51580752447884448</v>
      </c>
      <c r="V131" s="9">
        <f t="shared" si="54"/>
        <v>7.6555764664869508E-6</v>
      </c>
      <c r="W131" s="9">
        <f t="shared" si="55"/>
        <v>0.35633971100484951</v>
      </c>
      <c r="X131" s="9"/>
      <c r="Y131" s="9"/>
      <c r="Z131" s="9"/>
      <c r="AA131" s="1"/>
    </row>
    <row r="132" spans="5:27" x14ac:dyDescent="0.25">
      <c r="E132" s="8">
        <v>59</v>
      </c>
      <c r="F132" s="11">
        <v>12</v>
      </c>
      <c r="G132" s="11">
        <v>55</v>
      </c>
      <c r="H132" s="11">
        <v>55</v>
      </c>
      <c r="I132" s="11">
        <v>170</v>
      </c>
      <c r="J132" s="11">
        <f t="shared" ref="J132:J163" si="56">I132^2/H132</f>
        <v>525.4545454545455</v>
      </c>
      <c r="K132" s="10">
        <f t="shared" ref="K132:K163" si="57">H132/eff</f>
        <v>73.333333333333329</v>
      </c>
      <c r="L132" s="9">
        <f t="shared" ref="L132:L163" si="58">F132^2*Dmax^2/(2*fs*H132)</f>
        <v>5.3018181818181826E-6</v>
      </c>
      <c r="M132" s="1">
        <f t="shared" ref="M132:M163" si="59">SQRT(2*fs*Lp*H132)/F132</f>
        <v>0.36770685788183677</v>
      </c>
      <c r="N132" s="1">
        <f t="shared" ref="N132:N163" si="60">F132*M132/(I132*(1-M132))</f>
        <v>4.1050228880346047E-2</v>
      </c>
      <c r="O132" s="10">
        <f t="shared" ref="O132:O163" si="61">SQRT(2*H132/(fs*Lp))</f>
        <v>24.929278500463511</v>
      </c>
      <c r="P132" s="1">
        <f t="shared" ref="P132:P163" si="62">H132/(F132*eff)</f>
        <v>6.1111111111111107</v>
      </c>
      <c r="Q132" s="1">
        <f t="shared" ref="Q132:Q163" si="63">O132*SQRT(M132/3)</f>
        <v>8.7277027572026604</v>
      </c>
      <c r="R132" s="1">
        <f t="shared" ref="R132:R163" si="64">H132/I132</f>
        <v>0.3235294117647059</v>
      </c>
      <c r="S132" s="1">
        <f t="shared" ref="S132:S163" si="65">SQRT(2*R132*n*O132/3)</f>
        <v>0.52016281181908186</v>
      </c>
      <c r="T132" s="9">
        <f t="shared" ref="T132:T163" si="66">0.5*Lp*O132^2</f>
        <v>1.0999999999999998E-3</v>
      </c>
      <c r="U132" s="1">
        <f t="shared" ref="U132:U163" si="67">F132*M132/(n*I132)</f>
        <v>0.51580752447884448</v>
      </c>
      <c r="V132" s="9">
        <f t="shared" ref="V132:V163" si="68">(n*O132-R132)*U132/(fs*n*O132)</f>
        <v>7.6555764664869508E-6</v>
      </c>
      <c r="W132" s="9">
        <f t="shared" ref="W132:W163" si="69">(n*O132-R132)*V132/(2*Cout)</f>
        <v>0.35633971100484951</v>
      </c>
      <c r="X132" s="9"/>
      <c r="Y132" s="9"/>
      <c r="Z132" s="9"/>
      <c r="AA132" s="1"/>
    </row>
    <row r="133" spans="5:27" x14ac:dyDescent="0.25">
      <c r="E133" s="8">
        <v>60</v>
      </c>
      <c r="F133" s="11">
        <v>15</v>
      </c>
      <c r="G133" s="11">
        <v>55</v>
      </c>
      <c r="H133" s="11">
        <v>55</v>
      </c>
      <c r="I133" s="11">
        <v>170</v>
      </c>
      <c r="J133" s="11">
        <f t="shared" si="56"/>
        <v>525.4545454545455</v>
      </c>
      <c r="K133" s="10">
        <f t="shared" si="57"/>
        <v>73.333333333333329</v>
      </c>
      <c r="L133" s="9">
        <f t="shared" si="58"/>
        <v>8.2840909090909095E-6</v>
      </c>
      <c r="M133" s="1">
        <f t="shared" si="59"/>
        <v>0.2941654863054694</v>
      </c>
      <c r="N133" s="1">
        <f t="shared" si="60"/>
        <v>3.6773177989787076E-2</v>
      </c>
      <c r="O133" s="10">
        <f t="shared" si="61"/>
        <v>24.929278500463511</v>
      </c>
      <c r="P133" s="1">
        <f t="shared" si="62"/>
        <v>4.8888888888888893</v>
      </c>
      <c r="Q133" s="1">
        <f t="shared" si="63"/>
        <v>7.8062946610069961</v>
      </c>
      <c r="R133" s="1">
        <f t="shared" si="64"/>
        <v>0.3235294117647059</v>
      </c>
      <c r="S133" s="1">
        <f t="shared" si="65"/>
        <v>0.52016281181908186</v>
      </c>
      <c r="T133" s="9">
        <f t="shared" si="66"/>
        <v>1.0999999999999998E-3</v>
      </c>
      <c r="U133" s="1">
        <f t="shared" si="67"/>
        <v>0.51580752447884448</v>
      </c>
      <c r="V133" s="9">
        <f t="shared" si="68"/>
        <v>7.6555764664869508E-6</v>
      </c>
      <c r="W133" s="9">
        <f t="shared" si="69"/>
        <v>0.35633971100484951</v>
      </c>
      <c r="X133" s="9"/>
      <c r="Y133" s="9"/>
      <c r="Z133" s="9"/>
      <c r="AA133" s="1"/>
    </row>
    <row r="134" spans="5:27" x14ac:dyDescent="0.25">
      <c r="E134" s="8">
        <v>61</v>
      </c>
      <c r="F134" s="11">
        <v>18</v>
      </c>
      <c r="G134" s="11">
        <v>55</v>
      </c>
      <c r="H134" s="11">
        <v>55</v>
      </c>
      <c r="I134" s="11">
        <v>170</v>
      </c>
      <c r="J134" s="11">
        <f t="shared" si="56"/>
        <v>525.4545454545455</v>
      </c>
      <c r="K134" s="10">
        <f t="shared" si="57"/>
        <v>73.333333333333329</v>
      </c>
      <c r="L134" s="9">
        <f t="shared" si="58"/>
        <v>1.1929090909090909E-5</v>
      </c>
      <c r="M134" s="1">
        <f t="shared" si="59"/>
        <v>0.24513790525455784</v>
      </c>
      <c r="N134" s="1">
        <f t="shared" si="60"/>
        <v>3.4384794764634047E-2</v>
      </c>
      <c r="O134" s="10">
        <f t="shared" si="61"/>
        <v>24.929278500463511</v>
      </c>
      <c r="P134" s="1">
        <f t="shared" si="62"/>
        <v>4.0740740740740744</v>
      </c>
      <c r="Q134" s="1">
        <f t="shared" si="63"/>
        <v>7.1261394606094601</v>
      </c>
      <c r="R134" s="1">
        <f t="shared" si="64"/>
        <v>0.3235294117647059</v>
      </c>
      <c r="S134" s="1">
        <f t="shared" si="65"/>
        <v>0.52016281181908186</v>
      </c>
      <c r="T134" s="9">
        <f t="shared" si="66"/>
        <v>1.0999999999999998E-3</v>
      </c>
      <c r="U134" s="1">
        <f t="shared" si="67"/>
        <v>0.51580752447884448</v>
      </c>
      <c r="V134" s="9">
        <f t="shared" si="68"/>
        <v>7.6555764664869508E-6</v>
      </c>
      <c r="W134" s="9">
        <f t="shared" si="69"/>
        <v>0.35633971100484951</v>
      </c>
      <c r="X134" s="9"/>
      <c r="Y134" s="9"/>
      <c r="Z134" s="9"/>
      <c r="AA134" s="1"/>
    </row>
    <row r="135" spans="5:27" x14ac:dyDescent="0.25">
      <c r="E135" s="8">
        <v>62</v>
      </c>
      <c r="F135" s="11">
        <v>20</v>
      </c>
      <c r="G135" s="11">
        <v>55</v>
      </c>
      <c r="H135" s="11">
        <v>55</v>
      </c>
      <c r="I135" s="11">
        <v>170</v>
      </c>
      <c r="J135" s="11">
        <f t="shared" si="56"/>
        <v>525.4545454545455</v>
      </c>
      <c r="K135" s="10">
        <f t="shared" si="57"/>
        <v>73.333333333333329</v>
      </c>
      <c r="L135" s="9">
        <f t="shared" si="58"/>
        <v>1.4727272727272728E-5</v>
      </c>
      <c r="M135" s="1">
        <f t="shared" si="59"/>
        <v>0.22062411472910207</v>
      </c>
      <c r="N135" s="1">
        <f t="shared" si="60"/>
        <v>3.3303286249871562E-2</v>
      </c>
      <c r="O135" s="10">
        <f t="shared" si="61"/>
        <v>24.929278500463511</v>
      </c>
      <c r="P135" s="1">
        <f t="shared" si="62"/>
        <v>3.6666666666666665</v>
      </c>
      <c r="Q135" s="1">
        <f t="shared" si="63"/>
        <v>6.760449485858893</v>
      </c>
      <c r="R135" s="1">
        <f t="shared" si="64"/>
        <v>0.3235294117647059</v>
      </c>
      <c r="S135" s="1">
        <f t="shared" si="65"/>
        <v>0.52016281181908186</v>
      </c>
      <c r="T135" s="9">
        <f t="shared" si="66"/>
        <v>1.0999999999999998E-3</v>
      </c>
      <c r="U135" s="1">
        <f t="shared" si="67"/>
        <v>0.51580752447884448</v>
      </c>
      <c r="V135" s="9">
        <f t="shared" si="68"/>
        <v>7.6555764664869508E-6</v>
      </c>
      <c r="W135" s="9">
        <f t="shared" si="69"/>
        <v>0.35633971100484951</v>
      </c>
      <c r="X135" s="9"/>
      <c r="Y135" s="9"/>
      <c r="Z135" s="9"/>
      <c r="AA135" s="1"/>
    </row>
    <row r="136" spans="5:27" x14ac:dyDescent="0.25">
      <c r="E136" s="8">
        <v>63</v>
      </c>
      <c r="F136" s="11">
        <v>24</v>
      </c>
      <c r="G136" s="11">
        <v>55</v>
      </c>
      <c r="H136" s="11">
        <v>55</v>
      </c>
      <c r="I136" s="11">
        <v>170</v>
      </c>
      <c r="J136" s="11">
        <f t="shared" si="56"/>
        <v>525.4545454545455</v>
      </c>
      <c r="K136" s="10">
        <f t="shared" si="57"/>
        <v>73.333333333333329</v>
      </c>
      <c r="L136" s="9">
        <f t="shared" si="58"/>
        <v>2.120727272727273E-5</v>
      </c>
      <c r="M136" s="1">
        <f t="shared" si="59"/>
        <v>0.18385342894091838</v>
      </c>
      <c r="N136" s="1">
        <f t="shared" si="60"/>
        <v>3.1802839249501433E-2</v>
      </c>
      <c r="O136" s="10">
        <f t="shared" si="61"/>
        <v>24.929278500463511</v>
      </c>
      <c r="P136" s="1">
        <f t="shared" si="62"/>
        <v>3.0555555555555554</v>
      </c>
      <c r="Q136" s="1">
        <f t="shared" si="63"/>
        <v>6.1714178037985299</v>
      </c>
      <c r="R136" s="1">
        <f t="shared" si="64"/>
        <v>0.3235294117647059</v>
      </c>
      <c r="S136" s="1">
        <f t="shared" si="65"/>
        <v>0.52016281181908186</v>
      </c>
      <c r="T136" s="9">
        <f t="shared" si="66"/>
        <v>1.0999999999999998E-3</v>
      </c>
      <c r="U136" s="1">
        <f t="shared" si="67"/>
        <v>0.51580752447884448</v>
      </c>
      <c r="V136" s="9">
        <f t="shared" si="68"/>
        <v>7.6555764664869508E-6</v>
      </c>
      <c r="W136" s="9">
        <f t="shared" si="69"/>
        <v>0.35633971100484951</v>
      </c>
      <c r="X136" s="9"/>
      <c r="Y136" s="9"/>
      <c r="Z136" s="9"/>
      <c r="AA136" s="1"/>
    </row>
    <row r="137" spans="5:27" x14ac:dyDescent="0.25">
      <c r="E137" s="8">
        <v>93</v>
      </c>
      <c r="F137" s="11">
        <v>10</v>
      </c>
      <c r="G137" s="11">
        <v>55</v>
      </c>
      <c r="H137" s="11">
        <v>55</v>
      </c>
      <c r="I137" s="11">
        <v>250</v>
      </c>
      <c r="J137" s="11">
        <f t="shared" si="56"/>
        <v>1136.3636363636363</v>
      </c>
      <c r="K137" s="10">
        <f t="shared" si="57"/>
        <v>73.333333333333329</v>
      </c>
      <c r="L137" s="9">
        <f t="shared" si="58"/>
        <v>3.681818181818182E-6</v>
      </c>
      <c r="M137" s="1">
        <f t="shared" si="59"/>
        <v>0.44124822945820413</v>
      </c>
      <c r="N137" s="1">
        <f t="shared" si="60"/>
        <v>3.1588140045111332E-2</v>
      </c>
      <c r="O137" s="10">
        <f t="shared" si="61"/>
        <v>24.929278500463511</v>
      </c>
      <c r="P137" s="1">
        <f t="shared" si="62"/>
        <v>7.333333333333333</v>
      </c>
      <c r="Q137" s="1">
        <f t="shared" si="63"/>
        <v>9.5607193506398627</v>
      </c>
      <c r="R137" s="1">
        <f t="shared" si="64"/>
        <v>0.22</v>
      </c>
      <c r="S137" s="1">
        <f t="shared" si="65"/>
        <v>0.42893724312967135</v>
      </c>
      <c r="T137" s="9">
        <f t="shared" si="66"/>
        <v>1.0999999999999998E-3</v>
      </c>
      <c r="U137" s="1">
        <f t="shared" si="67"/>
        <v>0.3507491166456142</v>
      </c>
      <c r="V137" s="9">
        <f t="shared" si="68"/>
        <v>5.7847329046354964E-6</v>
      </c>
      <c r="W137" s="9">
        <f t="shared" si="69"/>
        <v>0.29920313238697427</v>
      </c>
      <c r="X137" s="9"/>
      <c r="Y137" s="9"/>
      <c r="Z137" s="9"/>
      <c r="AA137" s="1"/>
    </row>
    <row r="138" spans="5:27" x14ac:dyDescent="0.25">
      <c r="E138" s="8">
        <v>94</v>
      </c>
      <c r="F138" s="11">
        <v>12</v>
      </c>
      <c r="G138" s="11">
        <v>55</v>
      </c>
      <c r="H138" s="11">
        <v>55</v>
      </c>
      <c r="I138" s="11">
        <v>250</v>
      </c>
      <c r="J138" s="11">
        <f t="shared" si="56"/>
        <v>1136.3636363636363</v>
      </c>
      <c r="K138" s="10">
        <f t="shared" si="57"/>
        <v>73.333333333333329</v>
      </c>
      <c r="L138" s="9">
        <f t="shared" si="58"/>
        <v>5.3018181818181826E-6</v>
      </c>
      <c r="M138" s="1">
        <f t="shared" si="59"/>
        <v>0.36770685788183677</v>
      </c>
      <c r="N138" s="1">
        <f t="shared" si="60"/>
        <v>2.7914155638635311E-2</v>
      </c>
      <c r="O138" s="10">
        <f t="shared" si="61"/>
        <v>24.929278500463511</v>
      </c>
      <c r="P138" s="1">
        <f t="shared" si="62"/>
        <v>6.1111111111111107</v>
      </c>
      <c r="Q138" s="1">
        <f t="shared" si="63"/>
        <v>8.7277027572026604</v>
      </c>
      <c r="R138" s="1">
        <f t="shared" si="64"/>
        <v>0.22</v>
      </c>
      <c r="S138" s="1">
        <f t="shared" si="65"/>
        <v>0.42893724312967135</v>
      </c>
      <c r="T138" s="9">
        <f t="shared" si="66"/>
        <v>1.0999999999999998E-3</v>
      </c>
      <c r="U138" s="1">
        <f t="shared" si="67"/>
        <v>0.3507491166456142</v>
      </c>
      <c r="V138" s="9">
        <f t="shared" si="68"/>
        <v>5.7847329046354964E-6</v>
      </c>
      <c r="W138" s="9">
        <f t="shared" si="69"/>
        <v>0.29920313238697427</v>
      </c>
      <c r="X138" s="9"/>
      <c r="Y138" s="9"/>
      <c r="Z138" s="9"/>
      <c r="AA138" s="1"/>
    </row>
    <row r="139" spans="5:27" x14ac:dyDescent="0.25">
      <c r="E139" s="8">
        <v>95</v>
      </c>
      <c r="F139" s="11">
        <v>15</v>
      </c>
      <c r="G139" s="11">
        <v>55</v>
      </c>
      <c r="H139" s="11">
        <v>55</v>
      </c>
      <c r="I139" s="11">
        <v>250</v>
      </c>
      <c r="J139" s="11">
        <f t="shared" si="56"/>
        <v>1136.3636363636363</v>
      </c>
      <c r="K139" s="10">
        <f t="shared" si="57"/>
        <v>73.333333333333329</v>
      </c>
      <c r="L139" s="9">
        <f t="shared" si="58"/>
        <v>8.2840909090909095E-6</v>
      </c>
      <c r="M139" s="1">
        <f t="shared" si="59"/>
        <v>0.2941654863054694</v>
      </c>
      <c r="N139" s="1">
        <f t="shared" si="60"/>
        <v>2.5005761033055209E-2</v>
      </c>
      <c r="O139" s="10">
        <f t="shared" si="61"/>
        <v>24.929278500463511</v>
      </c>
      <c r="P139" s="1">
        <f t="shared" si="62"/>
        <v>4.8888888888888893</v>
      </c>
      <c r="Q139" s="1">
        <f t="shared" si="63"/>
        <v>7.8062946610069961</v>
      </c>
      <c r="R139" s="1">
        <f t="shared" si="64"/>
        <v>0.22</v>
      </c>
      <c r="S139" s="1">
        <f t="shared" si="65"/>
        <v>0.42893724312967135</v>
      </c>
      <c r="T139" s="9">
        <f t="shared" si="66"/>
        <v>1.0999999999999998E-3</v>
      </c>
      <c r="U139" s="1">
        <f t="shared" si="67"/>
        <v>0.3507491166456142</v>
      </c>
      <c r="V139" s="9">
        <f t="shared" si="68"/>
        <v>5.7847329046354964E-6</v>
      </c>
      <c r="W139" s="9">
        <f t="shared" si="69"/>
        <v>0.29920313238697427</v>
      </c>
      <c r="X139" s="9"/>
      <c r="Y139" s="9"/>
      <c r="Z139" s="9"/>
      <c r="AA139" s="1"/>
    </row>
    <row r="140" spans="5:27" x14ac:dyDescent="0.25">
      <c r="E140" s="8">
        <v>96</v>
      </c>
      <c r="F140" s="11">
        <v>18</v>
      </c>
      <c r="G140" s="11">
        <v>55</v>
      </c>
      <c r="H140" s="11">
        <v>55</v>
      </c>
      <c r="I140" s="11">
        <v>250</v>
      </c>
      <c r="J140" s="11">
        <f t="shared" si="56"/>
        <v>1136.3636363636363</v>
      </c>
      <c r="K140" s="10">
        <f t="shared" si="57"/>
        <v>73.333333333333329</v>
      </c>
      <c r="L140" s="9">
        <f t="shared" si="58"/>
        <v>1.1929090909090909E-5</v>
      </c>
      <c r="M140" s="1">
        <f t="shared" si="59"/>
        <v>0.24513790525455784</v>
      </c>
      <c r="N140" s="1">
        <f t="shared" si="60"/>
        <v>2.3381660439951154E-2</v>
      </c>
      <c r="O140" s="10">
        <f t="shared" si="61"/>
        <v>24.929278500463511</v>
      </c>
      <c r="P140" s="1">
        <f t="shared" si="62"/>
        <v>4.0740740740740744</v>
      </c>
      <c r="Q140" s="1">
        <f t="shared" si="63"/>
        <v>7.1261394606094601</v>
      </c>
      <c r="R140" s="1">
        <f t="shared" si="64"/>
        <v>0.22</v>
      </c>
      <c r="S140" s="1">
        <f t="shared" si="65"/>
        <v>0.42893724312967135</v>
      </c>
      <c r="T140" s="9">
        <f t="shared" si="66"/>
        <v>1.0999999999999998E-3</v>
      </c>
      <c r="U140" s="1">
        <f t="shared" si="67"/>
        <v>0.3507491166456142</v>
      </c>
      <c r="V140" s="9">
        <f t="shared" si="68"/>
        <v>5.7847329046354964E-6</v>
      </c>
      <c r="W140" s="9">
        <f t="shared" si="69"/>
        <v>0.29920313238697427</v>
      </c>
      <c r="X140" s="9"/>
      <c r="Y140" s="9"/>
      <c r="Z140" s="9"/>
      <c r="AA140" s="1"/>
    </row>
    <row r="141" spans="5:27" x14ac:dyDescent="0.25">
      <c r="E141" s="8">
        <v>97</v>
      </c>
      <c r="F141" s="11">
        <v>20</v>
      </c>
      <c r="G141" s="11">
        <v>55</v>
      </c>
      <c r="H141" s="11">
        <v>55</v>
      </c>
      <c r="I141" s="11">
        <v>250</v>
      </c>
      <c r="J141" s="11">
        <f t="shared" si="56"/>
        <v>1136.3636363636363</v>
      </c>
      <c r="K141" s="10">
        <f t="shared" si="57"/>
        <v>73.333333333333329</v>
      </c>
      <c r="L141" s="9">
        <f t="shared" si="58"/>
        <v>1.4727272727272728E-5</v>
      </c>
      <c r="M141" s="1">
        <f t="shared" si="59"/>
        <v>0.22062411472910207</v>
      </c>
      <c r="N141" s="1">
        <f t="shared" si="60"/>
        <v>2.2646234649912663E-2</v>
      </c>
      <c r="O141" s="10">
        <f t="shared" si="61"/>
        <v>24.929278500463511</v>
      </c>
      <c r="P141" s="1">
        <f t="shared" si="62"/>
        <v>3.6666666666666665</v>
      </c>
      <c r="Q141" s="1">
        <f t="shared" si="63"/>
        <v>6.760449485858893</v>
      </c>
      <c r="R141" s="1">
        <f t="shared" si="64"/>
        <v>0.22</v>
      </c>
      <c r="S141" s="1">
        <f t="shared" si="65"/>
        <v>0.42893724312967135</v>
      </c>
      <c r="T141" s="9">
        <f t="shared" si="66"/>
        <v>1.0999999999999998E-3</v>
      </c>
      <c r="U141" s="1">
        <f t="shared" si="67"/>
        <v>0.3507491166456142</v>
      </c>
      <c r="V141" s="9">
        <f t="shared" si="68"/>
        <v>5.7847329046354964E-6</v>
      </c>
      <c r="W141" s="9">
        <f t="shared" si="69"/>
        <v>0.29920313238697427</v>
      </c>
      <c r="X141" s="9"/>
      <c r="Y141" s="9"/>
      <c r="Z141" s="9"/>
      <c r="AA141" s="1"/>
    </row>
    <row r="142" spans="5:27" x14ac:dyDescent="0.25">
      <c r="E142" s="8">
        <v>98</v>
      </c>
      <c r="F142" s="11">
        <v>24</v>
      </c>
      <c r="G142" s="11">
        <v>55</v>
      </c>
      <c r="H142" s="11">
        <v>55</v>
      </c>
      <c r="I142" s="11">
        <v>250</v>
      </c>
      <c r="J142" s="11">
        <f t="shared" si="56"/>
        <v>1136.3636363636363</v>
      </c>
      <c r="K142" s="10">
        <f t="shared" si="57"/>
        <v>73.333333333333329</v>
      </c>
      <c r="L142" s="9">
        <f t="shared" si="58"/>
        <v>2.120727272727273E-5</v>
      </c>
      <c r="M142" s="1">
        <f t="shared" si="59"/>
        <v>0.18385342894091838</v>
      </c>
      <c r="N142" s="1">
        <f t="shared" si="60"/>
        <v>2.1625930689660976E-2</v>
      </c>
      <c r="O142" s="10">
        <f t="shared" si="61"/>
        <v>24.929278500463511</v>
      </c>
      <c r="P142" s="1">
        <f t="shared" si="62"/>
        <v>3.0555555555555554</v>
      </c>
      <c r="Q142" s="1">
        <f t="shared" si="63"/>
        <v>6.1714178037985299</v>
      </c>
      <c r="R142" s="1">
        <f t="shared" si="64"/>
        <v>0.22</v>
      </c>
      <c r="S142" s="1">
        <f t="shared" si="65"/>
        <v>0.42893724312967135</v>
      </c>
      <c r="T142" s="9">
        <f t="shared" si="66"/>
        <v>1.0999999999999998E-3</v>
      </c>
      <c r="U142" s="1">
        <f t="shared" si="67"/>
        <v>0.3507491166456142</v>
      </c>
      <c r="V142" s="9">
        <f t="shared" si="68"/>
        <v>5.7847329046354964E-6</v>
      </c>
      <c r="W142" s="9">
        <f t="shared" si="69"/>
        <v>0.29920313238697427</v>
      </c>
      <c r="X142" s="9"/>
      <c r="Y142" s="9"/>
      <c r="Z142" s="9"/>
      <c r="AA142" s="1"/>
    </row>
    <row r="143" spans="5:27" x14ac:dyDescent="0.25">
      <c r="E143" s="8">
        <v>128</v>
      </c>
      <c r="F143" s="11">
        <v>10</v>
      </c>
      <c r="G143" s="11">
        <v>55</v>
      </c>
      <c r="H143" s="11">
        <v>55</v>
      </c>
      <c r="I143" s="11">
        <v>400</v>
      </c>
      <c r="J143" s="11">
        <f t="shared" si="56"/>
        <v>2909.090909090909</v>
      </c>
      <c r="K143" s="10">
        <f t="shared" si="57"/>
        <v>73.333333333333329</v>
      </c>
      <c r="L143" s="9">
        <f t="shared" si="58"/>
        <v>3.681818181818182E-6</v>
      </c>
      <c r="M143" s="1">
        <f t="shared" si="59"/>
        <v>0.44124822945820413</v>
      </c>
      <c r="N143" s="1">
        <f t="shared" si="60"/>
        <v>1.9742587528194584E-2</v>
      </c>
      <c r="O143" s="10">
        <f t="shared" si="61"/>
        <v>24.929278500463511</v>
      </c>
      <c r="P143" s="1">
        <f t="shared" si="62"/>
        <v>7.333333333333333</v>
      </c>
      <c r="Q143" s="1">
        <f t="shared" si="63"/>
        <v>9.5607193506398627</v>
      </c>
      <c r="R143" s="1">
        <f t="shared" si="64"/>
        <v>0.13750000000000001</v>
      </c>
      <c r="S143" s="1">
        <f t="shared" si="65"/>
        <v>0.33910466539079309</v>
      </c>
      <c r="T143" s="9">
        <f t="shared" si="66"/>
        <v>1.0999999999999998E-3</v>
      </c>
      <c r="U143" s="1">
        <f t="shared" si="67"/>
        <v>0.21921819790350891</v>
      </c>
      <c r="V143" s="9">
        <f t="shared" si="68"/>
        <v>3.9037977751495579E-6</v>
      </c>
      <c r="W143" s="9">
        <f t="shared" si="69"/>
        <v>0.21801888808411427</v>
      </c>
      <c r="X143" s="9"/>
      <c r="Y143" s="9"/>
      <c r="Z143" s="9"/>
      <c r="AA143" s="1"/>
    </row>
    <row r="144" spans="5:27" x14ac:dyDescent="0.25">
      <c r="E144" s="8">
        <v>129</v>
      </c>
      <c r="F144" s="11">
        <v>12</v>
      </c>
      <c r="G144" s="11">
        <v>55</v>
      </c>
      <c r="H144" s="11">
        <v>55</v>
      </c>
      <c r="I144" s="11">
        <v>400</v>
      </c>
      <c r="J144" s="11">
        <f t="shared" si="56"/>
        <v>2909.090909090909</v>
      </c>
      <c r="K144" s="10">
        <f t="shared" si="57"/>
        <v>73.333333333333329</v>
      </c>
      <c r="L144" s="9">
        <f t="shared" si="58"/>
        <v>5.3018181818181826E-6</v>
      </c>
      <c r="M144" s="1">
        <f t="shared" si="59"/>
        <v>0.36770685788183677</v>
      </c>
      <c r="N144" s="1">
        <f t="shared" si="60"/>
        <v>1.7446347274147071E-2</v>
      </c>
      <c r="O144" s="10">
        <f t="shared" si="61"/>
        <v>24.929278500463511</v>
      </c>
      <c r="P144" s="1">
        <f t="shared" si="62"/>
        <v>6.1111111111111107</v>
      </c>
      <c r="Q144" s="1">
        <f t="shared" si="63"/>
        <v>8.7277027572026604</v>
      </c>
      <c r="R144" s="1">
        <f t="shared" si="64"/>
        <v>0.13750000000000001</v>
      </c>
      <c r="S144" s="1">
        <f t="shared" si="65"/>
        <v>0.33910466539079309</v>
      </c>
      <c r="T144" s="9">
        <f t="shared" si="66"/>
        <v>1.0999999999999998E-3</v>
      </c>
      <c r="U144" s="1">
        <f t="shared" si="67"/>
        <v>0.21921819790350891</v>
      </c>
      <c r="V144" s="9">
        <f t="shared" si="68"/>
        <v>3.9037977751495579E-6</v>
      </c>
      <c r="W144" s="9">
        <f t="shared" si="69"/>
        <v>0.21801888808411427</v>
      </c>
      <c r="X144" s="9"/>
      <c r="Y144" s="9"/>
      <c r="Z144" s="9"/>
      <c r="AA144" s="1"/>
    </row>
    <row r="145" spans="5:27" x14ac:dyDescent="0.25">
      <c r="E145" s="8">
        <v>130</v>
      </c>
      <c r="F145" s="11">
        <v>15</v>
      </c>
      <c r="G145" s="11">
        <v>55</v>
      </c>
      <c r="H145" s="11">
        <v>55</v>
      </c>
      <c r="I145" s="11">
        <v>400</v>
      </c>
      <c r="J145" s="11">
        <f t="shared" si="56"/>
        <v>2909.090909090909</v>
      </c>
      <c r="K145" s="10">
        <f t="shared" si="57"/>
        <v>73.333333333333329</v>
      </c>
      <c r="L145" s="9">
        <f t="shared" si="58"/>
        <v>8.2840909090909095E-6</v>
      </c>
      <c r="M145" s="1">
        <f t="shared" si="59"/>
        <v>0.2941654863054694</v>
      </c>
      <c r="N145" s="1">
        <f t="shared" si="60"/>
        <v>1.5628600645659504E-2</v>
      </c>
      <c r="O145" s="10">
        <f t="shared" si="61"/>
        <v>24.929278500463511</v>
      </c>
      <c r="P145" s="1">
        <f t="shared" si="62"/>
        <v>4.8888888888888893</v>
      </c>
      <c r="Q145" s="1">
        <f t="shared" si="63"/>
        <v>7.8062946610069961</v>
      </c>
      <c r="R145" s="1">
        <f t="shared" si="64"/>
        <v>0.13750000000000001</v>
      </c>
      <c r="S145" s="1">
        <f t="shared" si="65"/>
        <v>0.33910466539079309</v>
      </c>
      <c r="T145" s="9">
        <f t="shared" si="66"/>
        <v>1.0999999999999998E-3</v>
      </c>
      <c r="U145" s="1">
        <f t="shared" si="67"/>
        <v>0.21921819790350891</v>
      </c>
      <c r="V145" s="9">
        <f t="shared" si="68"/>
        <v>3.9037977751495579E-6</v>
      </c>
      <c r="W145" s="9">
        <f t="shared" si="69"/>
        <v>0.21801888808411427</v>
      </c>
      <c r="X145" s="9"/>
      <c r="Y145" s="9"/>
      <c r="Z145" s="9"/>
      <c r="AA145" s="1"/>
    </row>
    <row r="146" spans="5:27" x14ac:dyDescent="0.25">
      <c r="E146" s="8">
        <v>131</v>
      </c>
      <c r="F146" s="11">
        <v>18</v>
      </c>
      <c r="G146" s="11">
        <v>55</v>
      </c>
      <c r="H146" s="11">
        <v>55</v>
      </c>
      <c r="I146" s="11">
        <v>400</v>
      </c>
      <c r="J146" s="11">
        <f t="shared" si="56"/>
        <v>2909.090909090909</v>
      </c>
      <c r="K146" s="10">
        <f t="shared" si="57"/>
        <v>73.333333333333329</v>
      </c>
      <c r="L146" s="9">
        <f t="shared" si="58"/>
        <v>1.1929090909090909E-5</v>
      </c>
      <c r="M146" s="1">
        <f t="shared" si="59"/>
        <v>0.24513790525455784</v>
      </c>
      <c r="N146" s="1">
        <f t="shared" si="60"/>
        <v>1.461353777496947E-2</v>
      </c>
      <c r="O146" s="10">
        <f t="shared" si="61"/>
        <v>24.929278500463511</v>
      </c>
      <c r="P146" s="1">
        <f t="shared" si="62"/>
        <v>4.0740740740740744</v>
      </c>
      <c r="Q146" s="1">
        <f t="shared" si="63"/>
        <v>7.1261394606094601</v>
      </c>
      <c r="R146" s="1">
        <f t="shared" si="64"/>
        <v>0.13750000000000001</v>
      </c>
      <c r="S146" s="1">
        <f t="shared" si="65"/>
        <v>0.33910466539079309</v>
      </c>
      <c r="T146" s="9">
        <f t="shared" si="66"/>
        <v>1.0999999999999998E-3</v>
      </c>
      <c r="U146" s="1">
        <f t="shared" si="67"/>
        <v>0.21921819790350891</v>
      </c>
      <c r="V146" s="9">
        <f t="shared" si="68"/>
        <v>3.9037977751495579E-6</v>
      </c>
      <c r="W146" s="9">
        <f t="shared" si="69"/>
        <v>0.21801888808411427</v>
      </c>
      <c r="X146" s="9"/>
      <c r="Y146" s="9"/>
      <c r="Z146" s="9"/>
      <c r="AA146" s="1"/>
    </row>
    <row r="147" spans="5:27" x14ac:dyDescent="0.25">
      <c r="E147" s="8">
        <v>132</v>
      </c>
      <c r="F147" s="11">
        <v>20</v>
      </c>
      <c r="G147" s="11">
        <v>55</v>
      </c>
      <c r="H147" s="11">
        <v>55</v>
      </c>
      <c r="I147" s="11">
        <v>400</v>
      </c>
      <c r="J147" s="11">
        <f t="shared" si="56"/>
        <v>2909.090909090909</v>
      </c>
      <c r="K147" s="10">
        <f t="shared" si="57"/>
        <v>73.333333333333329</v>
      </c>
      <c r="L147" s="9">
        <f t="shared" si="58"/>
        <v>1.4727272727272728E-5</v>
      </c>
      <c r="M147" s="1">
        <f t="shared" si="59"/>
        <v>0.22062411472910207</v>
      </c>
      <c r="N147" s="1">
        <f t="shared" si="60"/>
        <v>1.4153896656195413E-2</v>
      </c>
      <c r="O147" s="10">
        <f t="shared" si="61"/>
        <v>24.929278500463511</v>
      </c>
      <c r="P147" s="1">
        <f t="shared" si="62"/>
        <v>3.6666666666666665</v>
      </c>
      <c r="Q147" s="1">
        <f t="shared" si="63"/>
        <v>6.760449485858893</v>
      </c>
      <c r="R147" s="1">
        <f t="shared" si="64"/>
        <v>0.13750000000000001</v>
      </c>
      <c r="S147" s="1">
        <f t="shared" si="65"/>
        <v>0.33910466539079309</v>
      </c>
      <c r="T147" s="9">
        <f t="shared" si="66"/>
        <v>1.0999999999999998E-3</v>
      </c>
      <c r="U147" s="1">
        <f t="shared" si="67"/>
        <v>0.21921819790350891</v>
      </c>
      <c r="V147" s="9">
        <f t="shared" si="68"/>
        <v>3.9037977751495579E-6</v>
      </c>
      <c r="W147" s="9">
        <f t="shared" si="69"/>
        <v>0.21801888808411427</v>
      </c>
      <c r="X147" s="9"/>
      <c r="Y147" s="9"/>
      <c r="Z147" s="9"/>
      <c r="AA147" s="1"/>
    </row>
    <row r="148" spans="5:27" x14ac:dyDescent="0.25">
      <c r="E148" s="8">
        <v>133</v>
      </c>
      <c r="F148" s="11">
        <v>24</v>
      </c>
      <c r="G148" s="11">
        <v>55</v>
      </c>
      <c r="H148" s="11">
        <v>55</v>
      </c>
      <c r="I148" s="11">
        <v>400</v>
      </c>
      <c r="J148" s="11">
        <f t="shared" si="56"/>
        <v>2909.090909090909</v>
      </c>
      <c r="K148" s="10">
        <f t="shared" si="57"/>
        <v>73.333333333333329</v>
      </c>
      <c r="L148" s="9">
        <f t="shared" si="58"/>
        <v>2.120727272727273E-5</v>
      </c>
      <c r="M148" s="1">
        <f t="shared" si="59"/>
        <v>0.18385342894091838</v>
      </c>
      <c r="N148" s="1">
        <f t="shared" si="60"/>
        <v>1.3516206681038109E-2</v>
      </c>
      <c r="O148" s="10">
        <f t="shared" si="61"/>
        <v>24.929278500463511</v>
      </c>
      <c r="P148" s="1">
        <f t="shared" si="62"/>
        <v>3.0555555555555554</v>
      </c>
      <c r="Q148" s="1">
        <f t="shared" si="63"/>
        <v>6.1714178037985299</v>
      </c>
      <c r="R148" s="1">
        <f t="shared" si="64"/>
        <v>0.13750000000000001</v>
      </c>
      <c r="S148" s="1">
        <f t="shared" si="65"/>
        <v>0.33910466539079309</v>
      </c>
      <c r="T148" s="9">
        <f t="shared" si="66"/>
        <v>1.0999999999999998E-3</v>
      </c>
      <c r="U148" s="1">
        <f t="shared" si="67"/>
        <v>0.21921819790350891</v>
      </c>
      <c r="V148" s="9">
        <f t="shared" si="68"/>
        <v>3.9037977751495579E-6</v>
      </c>
      <c r="W148" s="9">
        <f t="shared" si="69"/>
        <v>0.21801888808411427</v>
      </c>
      <c r="X148" s="9"/>
      <c r="Y148" s="9"/>
      <c r="Z148" s="9"/>
      <c r="AA148" s="1"/>
    </row>
    <row r="149" spans="5:27" x14ac:dyDescent="0.25">
      <c r="E149" s="8">
        <v>163</v>
      </c>
      <c r="F149" s="11">
        <v>10</v>
      </c>
      <c r="G149" s="11">
        <v>55</v>
      </c>
      <c r="H149" s="11">
        <v>55</v>
      </c>
      <c r="I149" s="11">
        <v>550</v>
      </c>
      <c r="J149" s="11">
        <f t="shared" si="56"/>
        <v>5500</v>
      </c>
      <c r="K149" s="10">
        <f t="shared" si="57"/>
        <v>73.333333333333329</v>
      </c>
      <c r="L149" s="9">
        <f t="shared" si="58"/>
        <v>3.681818181818182E-6</v>
      </c>
      <c r="M149" s="1">
        <f t="shared" si="59"/>
        <v>0.44124822945820413</v>
      </c>
      <c r="N149" s="1">
        <f t="shared" si="60"/>
        <v>1.4358245475050609E-2</v>
      </c>
      <c r="O149" s="10">
        <f t="shared" si="61"/>
        <v>24.929278500463511</v>
      </c>
      <c r="P149" s="1">
        <f t="shared" si="62"/>
        <v>7.333333333333333</v>
      </c>
      <c r="Q149" s="1">
        <f t="shared" si="63"/>
        <v>9.5607193506398627</v>
      </c>
      <c r="R149" s="1">
        <f t="shared" si="64"/>
        <v>0.1</v>
      </c>
      <c r="S149" s="1">
        <f t="shared" si="65"/>
        <v>0.28918943032338668</v>
      </c>
      <c r="T149" s="9">
        <f t="shared" si="66"/>
        <v>1.0999999999999998E-3</v>
      </c>
      <c r="U149" s="1">
        <f t="shared" si="67"/>
        <v>0.1594314166570974</v>
      </c>
      <c r="V149" s="9">
        <f t="shared" si="68"/>
        <v>2.9344445669690577E-6</v>
      </c>
      <c r="W149" s="9">
        <f t="shared" si="69"/>
        <v>0.16938463549944494</v>
      </c>
      <c r="X149" s="9"/>
      <c r="Y149" s="9"/>
      <c r="Z149" s="9"/>
      <c r="AA149" s="1"/>
    </row>
    <row r="150" spans="5:27" x14ac:dyDescent="0.25">
      <c r="E150" s="8">
        <v>164</v>
      </c>
      <c r="F150" s="11">
        <v>12</v>
      </c>
      <c r="G150" s="11">
        <v>55</v>
      </c>
      <c r="H150" s="11">
        <v>55</v>
      </c>
      <c r="I150" s="11">
        <v>550</v>
      </c>
      <c r="J150" s="11">
        <f t="shared" si="56"/>
        <v>5500</v>
      </c>
      <c r="K150" s="10">
        <f t="shared" si="57"/>
        <v>73.333333333333329</v>
      </c>
      <c r="L150" s="9">
        <f t="shared" si="58"/>
        <v>5.3018181818181826E-6</v>
      </c>
      <c r="M150" s="1">
        <f t="shared" si="59"/>
        <v>0.36770685788183677</v>
      </c>
      <c r="N150" s="1">
        <f t="shared" si="60"/>
        <v>1.2688252563016049E-2</v>
      </c>
      <c r="O150" s="10">
        <f t="shared" si="61"/>
        <v>24.929278500463511</v>
      </c>
      <c r="P150" s="1">
        <f t="shared" si="62"/>
        <v>6.1111111111111107</v>
      </c>
      <c r="Q150" s="1">
        <f t="shared" si="63"/>
        <v>8.7277027572026604</v>
      </c>
      <c r="R150" s="1">
        <f t="shared" si="64"/>
        <v>0.1</v>
      </c>
      <c r="S150" s="1">
        <f t="shared" si="65"/>
        <v>0.28918943032338668</v>
      </c>
      <c r="T150" s="9">
        <f t="shared" si="66"/>
        <v>1.0999999999999998E-3</v>
      </c>
      <c r="U150" s="1">
        <f t="shared" si="67"/>
        <v>0.1594314166570974</v>
      </c>
      <c r="V150" s="9">
        <f t="shared" si="68"/>
        <v>2.9344445669690577E-6</v>
      </c>
      <c r="W150" s="9">
        <f t="shared" si="69"/>
        <v>0.16938463549944494</v>
      </c>
      <c r="X150" s="9"/>
      <c r="Y150" s="9"/>
      <c r="Z150" s="9"/>
      <c r="AA150" s="1"/>
    </row>
    <row r="151" spans="5:27" x14ac:dyDescent="0.25">
      <c r="E151" s="8">
        <v>165</v>
      </c>
      <c r="F151" s="11">
        <v>15</v>
      </c>
      <c r="G151" s="11">
        <v>55</v>
      </c>
      <c r="H151" s="11">
        <v>55</v>
      </c>
      <c r="I151" s="11">
        <v>550</v>
      </c>
      <c r="J151" s="11">
        <f t="shared" si="56"/>
        <v>5500</v>
      </c>
      <c r="K151" s="10">
        <f t="shared" si="57"/>
        <v>73.333333333333329</v>
      </c>
      <c r="L151" s="9">
        <f t="shared" si="58"/>
        <v>8.2840909090909095E-6</v>
      </c>
      <c r="M151" s="1">
        <f t="shared" si="59"/>
        <v>0.2941654863054694</v>
      </c>
      <c r="N151" s="1">
        <f t="shared" si="60"/>
        <v>1.1366255015025094E-2</v>
      </c>
      <c r="O151" s="10">
        <f t="shared" si="61"/>
        <v>24.929278500463511</v>
      </c>
      <c r="P151" s="1">
        <f t="shared" si="62"/>
        <v>4.8888888888888893</v>
      </c>
      <c r="Q151" s="1">
        <f t="shared" si="63"/>
        <v>7.8062946610069961</v>
      </c>
      <c r="R151" s="1">
        <f t="shared" si="64"/>
        <v>0.1</v>
      </c>
      <c r="S151" s="1">
        <f t="shared" si="65"/>
        <v>0.28918943032338668</v>
      </c>
      <c r="T151" s="9">
        <f t="shared" si="66"/>
        <v>1.0999999999999998E-3</v>
      </c>
      <c r="U151" s="1">
        <f t="shared" si="67"/>
        <v>0.1594314166570974</v>
      </c>
      <c r="V151" s="9">
        <f t="shared" si="68"/>
        <v>2.9344445669690577E-6</v>
      </c>
      <c r="W151" s="9">
        <f t="shared" si="69"/>
        <v>0.16938463549944494</v>
      </c>
      <c r="X151" s="9"/>
      <c r="Y151" s="9"/>
      <c r="Z151" s="9"/>
      <c r="AA151" s="1"/>
    </row>
    <row r="152" spans="5:27" x14ac:dyDescent="0.25">
      <c r="E152" s="8">
        <v>166</v>
      </c>
      <c r="F152" s="11">
        <v>18</v>
      </c>
      <c r="G152" s="11">
        <v>55</v>
      </c>
      <c r="H152" s="11">
        <v>55</v>
      </c>
      <c r="I152" s="11">
        <v>550</v>
      </c>
      <c r="J152" s="11">
        <f t="shared" si="56"/>
        <v>5500</v>
      </c>
      <c r="K152" s="10">
        <f t="shared" si="57"/>
        <v>73.333333333333329</v>
      </c>
      <c r="L152" s="9">
        <f t="shared" si="58"/>
        <v>1.1929090909090909E-5</v>
      </c>
      <c r="M152" s="1">
        <f t="shared" si="59"/>
        <v>0.24513790525455784</v>
      </c>
      <c r="N152" s="1">
        <f t="shared" si="60"/>
        <v>1.0628027472705069E-2</v>
      </c>
      <c r="O152" s="10">
        <f t="shared" si="61"/>
        <v>24.929278500463511</v>
      </c>
      <c r="P152" s="1">
        <f t="shared" si="62"/>
        <v>4.0740740740740744</v>
      </c>
      <c r="Q152" s="1">
        <f t="shared" si="63"/>
        <v>7.1261394606094601</v>
      </c>
      <c r="R152" s="1">
        <f t="shared" si="64"/>
        <v>0.1</v>
      </c>
      <c r="S152" s="1">
        <f t="shared" si="65"/>
        <v>0.28918943032338668</v>
      </c>
      <c r="T152" s="9">
        <f t="shared" si="66"/>
        <v>1.0999999999999998E-3</v>
      </c>
      <c r="U152" s="1">
        <f t="shared" si="67"/>
        <v>0.1594314166570974</v>
      </c>
      <c r="V152" s="9">
        <f t="shared" si="68"/>
        <v>2.9344445669690577E-6</v>
      </c>
      <c r="W152" s="9">
        <f t="shared" si="69"/>
        <v>0.16938463549944494</v>
      </c>
      <c r="X152" s="9"/>
      <c r="Y152" s="9"/>
      <c r="Z152" s="9"/>
      <c r="AA152" s="1"/>
    </row>
    <row r="153" spans="5:27" x14ac:dyDescent="0.25">
      <c r="E153" s="8">
        <v>167</v>
      </c>
      <c r="F153" s="11">
        <v>20</v>
      </c>
      <c r="G153" s="11">
        <v>55</v>
      </c>
      <c r="H153" s="11">
        <v>55</v>
      </c>
      <c r="I153" s="11">
        <v>550</v>
      </c>
      <c r="J153" s="11">
        <f t="shared" si="56"/>
        <v>5500</v>
      </c>
      <c r="K153" s="10">
        <f t="shared" si="57"/>
        <v>73.333333333333329</v>
      </c>
      <c r="L153" s="9">
        <f t="shared" si="58"/>
        <v>1.4727272727272728E-5</v>
      </c>
      <c r="M153" s="1">
        <f t="shared" si="59"/>
        <v>0.22062411472910207</v>
      </c>
      <c r="N153" s="1">
        <f t="shared" si="60"/>
        <v>1.0293743022687573E-2</v>
      </c>
      <c r="O153" s="10">
        <f t="shared" si="61"/>
        <v>24.929278500463511</v>
      </c>
      <c r="P153" s="1">
        <f t="shared" si="62"/>
        <v>3.6666666666666665</v>
      </c>
      <c r="Q153" s="1">
        <f t="shared" si="63"/>
        <v>6.760449485858893</v>
      </c>
      <c r="R153" s="1">
        <f t="shared" si="64"/>
        <v>0.1</v>
      </c>
      <c r="S153" s="1">
        <f t="shared" si="65"/>
        <v>0.28918943032338668</v>
      </c>
      <c r="T153" s="9">
        <f t="shared" si="66"/>
        <v>1.0999999999999998E-3</v>
      </c>
      <c r="U153" s="1">
        <f t="shared" si="67"/>
        <v>0.1594314166570974</v>
      </c>
      <c r="V153" s="9">
        <f t="shared" si="68"/>
        <v>2.9344445669690577E-6</v>
      </c>
      <c r="W153" s="9">
        <f t="shared" si="69"/>
        <v>0.16938463549944494</v>
      </c>
      <c r="X153" s="9"/>
      <c r="Y153" s="9"/>
      <c r="Z153" s="9"/>
      <c r="AA153" s="1"/>
    </row>
    <row r="154" spans="5:27" x14ac:dyDescent="0.25">
      <c r="E154" s="8">
        <v>168</v>
      </c>
      <c r="F154" s="11">
        <v>24</v>
      </c>
      <c r="G154" s="11">
        <v>55</v>
      </c>
      <c r="H154" s="11">
        <v>55</v>
      </c>
      <c r="I154" s="11">
        <v>550</v>
      </c>
      <c r="J154" s="11">
        <f t="shared" si="56"/>
        <v>5500</v>
      </c>
      <c r="K154" s="10">
        <f t="shared" si="57"/>
        <v>73.333333333333329</v>
      </c>
      <c r="L154" s="9">
        <f t="shared" si="58"/>
        <v>2.120727272727273E-5</v>
      </c>
      <c r="M154" s="1">
        <f t="shared" si="59"/>
        <v>0.18385342894091838</v>
      </c>
      <c r="N154" s="1">
        <f t="shared" si="60"/>
        <v>9.8299684953004427E-3</v>
      </c>
      <c r="O154" s="10">
        <f t="shared" si="61"/>
        <v>24.929278500463511</v>
      </c>
      <c r="P154" s="1">
        <f t="shared" si="62"/>
        <v>3.0555555555555554</v>
      </c>
      <c r="Q154" s="1">
        <f t="shared" si="63"/>
        <v>6.1714178037985299</v>
      </c>
      <c r="R154" s="1">
        <f t="shared" si="64"/>
        <v>0.1</v>
      </c>
      <c r="S154" s="1">
        <f t="shared" si="65"/>
        <v>0.28918943032338668</v>
      </c>
      <c r="T154" s="9">
        <f t="shared" si="66"/>
        <v>1.0999999999999998E-3</v>
      </c>
      <c r="U154" s="1">
        <f t="shared" si="67"/>
        <v>0.1594314166570974</v>
      </c>
      <c r="V154" s="9">
        <f t="shared" si="68"/>
        <v>2.9344445669690577E-6</v>
      </c>
      <c r="W154" s="9">
        <f t="shared" si="69"/>
        <v>0.16938463549944494</v>
      </c>
      <c r="X154" s="9"/>
      <c r="Y154" s="9"/>
      <c r="Z154" s="9"/>
      <c r="AA154" s="1"/>
    </row>
    <row r="155" spans="5:27" x14ac:dyDescent="0.25">
      <c r="E155" s="8">
        <v>65</v>
      </c>
      <c r="F155" s="11">
        <v>10</v>
      </c>
      <c r="G155" s="11">
        <v>70</v>
      </c>
      <c r="H155" s="21">
        <v>57</v>
      </c>
      <c r="I155" s="11">
        <v>170</v>
      </c>
      <c r="J155" s="11">
        <f t="shared" si="56"/>
        <v>507.01754385964909</v>
      </c>
      <c r="K155" s="10">
        <f t="shared" si="57"/>
        <v>76</v>
      </c>
      <c r="L155" s="9">
        <f t="shared" si="58"/>
        <v>3.5526315789473683E-6</v>
      </c>
      <c r="M155" s="1">
        <f t="shared" si="59"/>
        <v>0.449199287621875</v>
      </c>
      <c r="N155" s="1">
        <f t="shared" si="60"/>
        <v>4.797286371160206E-2</v>
      </c>
      <c r="O155" s="10">
        <f t="shared" si="61"/>
        <v>25.378490826094637</v>
      </c>
      <c r="P155" s="1">
        <f t="shared" si="62"/>
        <v>7.6</v>
      </c>
      <c r="Q155" s="1">
        <f t="shared" si="63"/>
        <v>9.8202986277994437</v>
      </c>
      <c r="R155" s="1">
        <f t="shared" si="64"/>
        <v>0.3352941176470588</v>
      </c>
      <c r="S155" s="1">
        <f t="shared" si="65"/>
        <v>0.53428554482120205</v>
      </c>
      <c r="T155" s="9">
        <f t="shared" si="66"/>
        <v>1.1400000000000004E-3</v>
      </c>
      <c r="U155" s="1">
        <f t="shared" si="67"/>
        <v>0.52510210144162606</v>
      </c>
      <c r="V155" s="9">
        <f t="shared" si="68"/>
        <v>7.7447198594484047E-6</v>
      </c>
      <c r="W155" s="9">
        <f t="shared" si="69"/>
        <v>0.36468663893176112</v>
      </c>
      <c r="X155" s="9"/>
      <c r="Y155" s="9"/>
      <c r="Z155" s="11"/>
      <c r="AA155" s="1"/>
    </row>
    <row r="156" spans="5:27" x14ac:dyDescent="0.25">
      <c r="E156" s="8">
        <v>100</v>
      </c>
      <c r="F156" s="11">
        <v>10</v>
      </c>
      <c r="G156" s="11">
        <v>70</v>
      </c>
      <c r="H156" s="21">
        <v>57</v>
      </c>
      <c r="I156" s="11">
        <v>250</v>
      </c>
      <c r="J156" s="11">
        <f t="shared" si="56"/>
        <v>1096.4912280701753</v>
      </c>
      <c r="K156" s="10">
        <f t="shared" si="57"/>
        <v>76</v>
      </c>
      <c r="L156" s="9">
        <f t="shared" si="58"/>
        <v>3.5526315789473683E-6</v>
      </c>
      <c r="M156" s="1">
        <f t="shared" si="59"/>
        <v>0.449199287621875</v>
      </c>
      <c r="N156" s="1">
        <f t="shared" si="60"/>
        <v>3.2621547323889402E-2</v>
      </c>
      <c r="O156" s="10">
        <f t="shared" si="61"/>
        <v>25.378490826094637</v>
      </c>
      <c r="P156" s="1">
        <f t="shared" si="62"/>
        <v>7.6</v>
      </c>
      <c r="Q156" s="1">
        <f t="shared" si="63"/>
        <v>9.8202986277994437</v>
      </c>
      <c r="R156" s="1">
        <f t="shared" si="64"/>
        <v>0.22800000000000001</v>
      </c>
      <c r="S156" s="1">
        <f t="shared" si="65"/>
        <v>0.44058314710769902</v>
      </c>
      <c r="T156" s="9">
        <f t="shared" si="66"/>
        <v>1.1400000000000004E-3</v>
      </c>
      <c r="U156" s="1">
        <f t="shared" si="67"/>
        <v>0.35706942898030569</v>
      </c>
      <c r="V156" s="9">
        <f t="shared" si="68"/>
        <v>5.8664028084828972E-6</v>
      </c>
      <c r="W156" s="9">
        <f t="shared" si="69"/>
        <v>0.30771117817578525</v>
      </c>
      <c r="X156" s="9"/>
      <c r="Y156" s="9"/>
      <c r="Z156" s="11"/>
      <c r="AA156" s="1"/>
    </row>
    <row r="157" spans="5:27" x14ac:dyDescent="0.25">
      <c r="E157" s="8">
        <v>135</v>
      </c>
      <c r="F157" s="11">
        <v>10</v>
      </c>
      <c r="G157" s="11">
        <v>70</v>
      </c>
      <c r="H157" s="21">
        <v>57</v>
      </c>
      <c r="I157" s="11">
        <v>400</v>
      </c>
      <c r="J157" s="11">
        <f t="shared" si="56"/>
        <v>2807.0175438596493</v>
      </c>
      <c r="K157" s="10">
        <f t="shared" si="57"/>
        <v>76</v>
      </c>
      <c r="L157" s="9">
        <f t="shared" si="58"/>
        <v>3.5526315789473683E-6</v>
      </c>
      <c r="M157" s="1">
        <f t="shared" si="59"/>
        <v>0.449199287621875</v>
      </c>
      <c r="N157" s="1">
        <f t="shared" si="60"/>
        <v>2.0388467077430878E-2</v>
      </c>
      <c r="O157" s="10">
        <f t="shared" si="61"/>
        <v>25.378490826094637</v>
      </c>
      <c r="P157" s="1">
        <f t="shared" si="62"/>
        <v>7.6</v>
      </c>
      <c r="Q157" s="1">
        <f t="shared" si="63"/>
        <v>9.8202986277994437</v>
      </c>
      <c r="R157" s="1">
        <f t="shared" si="64"/>
        <v>0.14249999999999999</v>
      </c>
      <c r="S157" s="1">
        <f t="shared" si="65"/>
        <v>0.34831156088633886</v>
      </c>
      <c r="T157" s="9">
        <f t="shared" si="66"/>
        <v>1.1400000000000004E-3</v>
      </c>
      <c r="U157" s="1">
        <f t="shared" si="67"/>
        <v>0.22316839311269104</v>
      </c>
      <c r="V157" s="9">
        <f t="shared" si="68"/>
        <v>3.9653265454088145E-6</v>
      </c>
      <c r="W157" s="9">
        <f t="shared" si="69"/>
        <v>0.2249455523454037</v>
      </c>
      <c r="X157" s="9"/>
      <c r="Y157" s="9"/>
      <c r="Z157" s="11"/>
      <c r="AA157" s="1"/>
    </row>
    <row r="158" spans="5:27" x14ac:dyDescent="0.25">
      <c r="E158" s="8">
        <v>170</v>
      </c>
      <c r="F158" s="11">
        <v>10</v>
      </c>
      <c r="G158" s="11">
        <v>70</v>
      </c>
      <c r="H158" s="21">
        <v>57</v>
      </c>
      <c r="I158" s="11">
        <v>550</v>
      </c>
      <c r="J158" s="11">
        <f t="shared" si="56"/>
        <v>5307.0175438596489</v>
      </c>
      <c r="K158" s="10">
        <f t="shared" si="57"/>
        <v>76</v>
      </c>
      <c r="L158" s="9">
        <f t="shared" si="58"/>
        <v>3.5526315789473683E-6</v>
      </c>
      <c r="M158" s="1">
        <f t="shared" si="59"/>
        <v>0.449199287621875</v>
      </c>
      <c r="N158" s="1">
        <f t="shared" si="60"/>
        <v>1.4827976056313363E-2</v>
      </c>
      <c r="O158" s="10">
        <f t="shared" si="61"/>
        <v>25.378490826094637</v>
      </c>
      <c r="P158" s="1">
        <f t="shared" si="62"/>
        <v>7.6</v>
      </c>
      <c r="Q158" s="1">
        <f t="shared" si="63"/>
        <v>9.8202986277994437</v>
      </c>
      <c r="R158" s="1">
        <f t="shared" si="64"/>
        <v>0.10363636363636364</v>
      </c>
      <c r="S158" s="1">
        <f t="shared" si="65"/>
        <v>0.29704109718363303</v>
      </c>
      <c r="T158" s="9">
        <f t="shared" si="66"/>
        <v>1.1400000000000004E-3</v>
      </c>
      <c r="U158" s="1">
        <f t="shared" si="67"/>
        <v>0.16230428590013896</v>
      </c>
      <c r="V158" s="9">
        <f t="shared" si="68"/>
        <v>2.9826589057872381E-6</v>
      </c>
      <c r="W158" s="9">
        <f t="shared" si="69"/>
        <v>0.17499650513126988</v>
      </c>
      <c r="X158" s="9"/>
      <c r="Y158" s="9"/>
      <c r="Z158" s="11"/>
      <c r="AA158" s="1"/>
    </row>
    <row r="159" spans="5:27" x14ac:dyDescent="0.25">
      <c r="E159" s="8">
        <v>136</v>
      </c>
      <c r="F159" s="11">
        <v>12</v>
      </c>
      <c r="G159" s="11">
        <v>70</v>
      </c>
      <c r="H159" s="11">
        <v>70</v>
      </c>
      <c r="I159" s="11">
        <v>400</v>
      </c>
      <c r="J159" s="11">
        <f t="shared" si="56"/>
        <v>2285.7142857142858</v>
      </c>
      <c r="K159" s="10">
        <f t="shared" si="57"/>
        <v>93.333333333333329</v>
      </c>
      <c r="L159" s="9">
        <f t="shared" si="58"/>
        <v>4.1657142857142866E-6</v>
      </c>
      <c r="M159" s="1">
        <f t="shared" si="59"/>
        <v>0.41482928215512138</v>
      </c>
      <c r="N159" s="1">
        <f t="shared" si="60"/>
        <v>2.1267090244171484E-2</v>
      </c>
      <c r="O159" s="10">
        <f t="shared" si="61"/>
        <v>28.124019129160775</v>
      </c>
      <c r="P159" s="1">
        <f t="shared" si="62"/>
        <v>7.7777777777777777</v>
      </c>
      <c r="Q159" s="1">
        <f t="shared" si="63"/>
        <v>10.458067962214239</v>
      </c>
      <c r="R159" s="1">
        <f t="shared" si="64"/>
        <v>0.17499999999999999</v>
      </c>
      <c r="S159" s="1">
        <f t="shared" si="65"/>
        <v>0.40633597816265365</v>
      </c>
      <c r="T159" s="9">
        <f t="shared" si="66"/>
        <v>1.4000000000000002E-3</v>
      </c>
      <c r="U159" s="1">
        <f t="shared" si="67"/>
        <v>0.24731148120407115</v>
      </c>
      <c r="V159" s="9">
        <f t="shared" si="68"/>
        <v>4.334599936727906E-6</v>
      </c>
      <c r="W159" s="9">
        <f t="shared" si="69"/>
        <v>0.26879274134291836</v>
      </c>
      <c r="X159" s="9"/>
      <c r="Y159" s="9"/>
      <c r="Z159" s="11"/>
      <c r="AA159" s="1"/>
    </row>
    <row r="160" spans="5:27" x14ac:dyDescent="0.25">
      <c r="E160" s="8">
        <v>171</v>
      </c>
      <c r="F160" s="11">
        <v>12</v>
      </c>
      <c r="G160" s="11">
        <v>70</v>
      </c>
      <c r="H160" s="11">
        <v>70</v>
      </c>
      <c r="I160" s="11">
        <v>550</v>
      </c>
      <c r="J160" s="11">
        <f t="shared" si="56"/>
        <v>4321.4285714285716</v>
      </c>
      <c r="K160" s="10">
        <f t="shared" si="57"/>
        <v>93.333333333333329</v>
      </c>
      <c r="L160" s="9">
        <f t="shared" si="58"/>
        <v>4.1657142857142866E-6</v>
      </c>
      <c r="M160" s="1">
        <f t="shared" si="59"/>
        <v>0.41482928215512138</v>
      </c>
      <c r="N160" s="1">
        <f t="shared" si="60"/>
        <v>1.5466974723033804E-2</v>
      </c>
      <c r="O160" s="10">
        <f t="shared" si="61"/>
        <v>28.124019129160775</v>
      </c>
      <c r="P160" s="1">
        <f t="shared" si="62"/>
        <v>7.7777777777777777</v>
      </c>
      <c r="Q160" s="1">
        <f t="shared" si="63"/>
        <v>10.458067962214239</v>
      </c>
      <c r="R160" s="1">
        <f t="shared" si="64"/>
        <v>0.12727272727272726</v>
      </c>
      <c r="S160" s="1">
        <f t="shared" si="65"/>
        <v>0.34652448650134177</v>
      </c>
      <c r="T160" s="9">
        <f t="shared" si="66"/>
        <v>1.4000000000000002E-3</v>
      </c>
      <c r="U160" s="1">
        <f t="shared" si="67"/>
        <v>0.17986289542114267</v>
      </c>
      <c r="V160" s="9">
        <f t="shared" si="68"/>
        <v>3.2737512969300844E-6</v>
      </c>
      <c r="W160" s="9">
        <f t="shared" si="69"/>
        <v>0.21082085051139049</v>
      </c>
      <c r="X160" s="9"/>
      <c r="Y160" s="9"/>
      <c r="Z160" s="11"/>
      <c r="AA160" s="1"/>
    </row>
    <row r="161" spans="5:27" x14ac:dyDescent="0.25">
      <c r="E161" s="8">
        <v>66</v>
      </c>
      <c r="F161" s="11">
        <v>12</v>
      </c>
      <c r="G161" s="11">
        <v>70</v>
      </c>
      <c r="H161" s="11">
        <v>70</v>
      </c>
      <c r="I161" s="11">
        <v>170</v>
      </c>
      <c r="J161" s="11">
        <f t="shared" si="56"/>
        <v>412.85714285714283</v>
      </c>
      <c r="K161" s="10">
        <f t="shared" si="57"/>
        <v>93.333333333333329</v>
      </c>
      <c r="L161" s="9">
        <f t="shared" si="58"/>
        <v>4.1657142857142866E-6</v>
      </c>
      <c r="M161" s="1">
        <f t="shared" si="59"/>
        <v>0.41482928215512138</v>
      </c>
      <c r="N161" s="1">
        <f t="shared" si="60"/>
        <v>5.0040212339227022E-2</v>
      </c>
      <c r="O161" s="10">
        <f t="shared" si="61"/>
        <v>28.124019129160775</v>
      </c>
      <c r="P161" s="1">
        <f t="shared" si="62"/>
        <v>7.7777777777777777</v>
      </c>
      <c r="Q161" s="1">
        <f t="shared" si="63"/>
        <v>10.458067962214239</v>
      </c>
      <c r="R161" s="1">
        <f t="shared" si="64"/>
        <v>0.41176470588235292</v>
      </c>
      <c r="S161" s="1">
        <f t="shared" si="65"/>
        <v>0.62329093791960999</v>
      </c>
      <c r="T161" s="9">
        <f t="shared" si="66"/>
        <v>1.4000000000000002E-3</v>
      </c>
      <c r="U161" s="1">
        <f t="shared" si="67"/>
        <v>0.58190936753899103</v>
      </c>
      <c r="V161" s="9">
        <f t="shared" si="68"/>
        <v>8.2520022304835353E-6</v>
      </c>
      <c r="W161" s="9">
        <f t="shared" si="69"/>
        <v>0.4140255086210487</v>
      </c>
      <c r="X161" s="9"/>
      <c r="Y161" s="9"/>
      <c r="Z161" s="11"/>
      <c r="AA161" s="1"/>
    </row>
    <row r="162" spans="5:27" x14ac:dyDescent="0.25">
      <c r="E162" s="8">
        <v>101</v>
      </c>
      <c r="F162" s="11">
        <v>12</v>
      </c>
      <c r="G162" s="11">
        <v>70</v>
      </c>
      <c r="H162" s="11">
        <v>70</v>
      </c>
      <c r="I162" s="11">
        <v>250</v>
      </c>
      <c r="J162" s="11">
        <f t="shared" si="56"/>
        <v>892.85714285714289</v>
      </c>
      <c r="K162" s="10">
        <f t="shared" si="57"/>
        <v>93.333333333333329</v>
      </c>
      <c r="L162" s="9">
        <f t="shared" si="58"/>
        <v>4.1657142857142866E-6</v>
      </c>
      <c r="M162" s="1">
        <f t="shared" si="59"/>
        <v>0.41482928215512138</v>
      </c>
      <c r="N162" s="1">
        <f t="shared" si="60"/>
        <v>3.4027344390674376E-2</v>
      </c>
      <c r="O162" s="10">
        <f t="shared" si="61"/>
        <v>28.124019129160775</v>
      </c>
      <c r="P162" s="1">
        <f t="shared" si="62"/>
        <v>7.7777777777777777</v>
      </c>
      <c r="Q162" s="1">
        <f t="shared" si="63"/>
        <v>10.458067962214239</v>
      </c>
      <c r="R162" s="1">
        <f t="shared" si="64"/>
        <v>0.28000000000000003</v>
      </c>
      <c r="S162" s="1">
        <f t="shared" si="65"/>
        <v>0.51397887450657054</v>
      </c>
      <c r="T162" s="9">
        <f t="shared" si="66"/>
        <v>1.4000000000000002E-3</v>
      </c>
      <c r="U162" s="1">
        <f t="shared" si="67"/>
        <v>0.3956983699265138</v>
      </c>
      <c r="V162" s="9">
        <f t="shared" si="68"/>
        <v>6.3481953989052742E-6</v>
      </c>
      <c r="W162" s="9">
        <f t="shared" si="69"/>
        <v>0.36032972083590226</v>
      </c>
      <c r="X162" s="9"/>
      <c r="Y162" s="9"/>
      <c r="Z162" s="11"/>
      <c r="AA162" s="1"/>
    </row>
    <row r="163" spans="5:27" x14ac:dyDescent="0.25">
      <c r="E163" s="8">
        <v>67</v>
      </c>
      <c r="F163" s="11">
        <v>15</v>
      </c>
      <c r="G163" s="11">
        <v>70</v>
      </c>
      <c r="H163" s="11">
        <v>70</v>
      </c>
      <c r="I163" s="11">
        <v>170</v>
      </c>
      <c r="J163" s="11">
        <f t="shared" si="56"/>
        <v>412.85714285714283</v>
      </c>
      <c r="K163" s="10">
        <f t="shared" si="57"/>
        <v>93.333333333333329</v>
      </c>
      <c r="L163" s="9">
        <f t="shared" si="58"/>
        <v>6.5089285714285716E-6</v>
      </c>
      <c r="M163" s="1">
        <f t="shared" si="59"/>
        <v>0.33186342572409711</v>
      </c>
      <c r="N163" s="1">
        <f t="shared" si="60"/>
        <v>4.3826469172699077E-2</v>
      </c>
      <c r="O163" s="10">
        <f t="shared" si="61"/>
        <v>28.124019129160775</v>
      </c>
      <c r="P163" s="1">
        <f t="shared" si="62"/>
        <v>6.2222222222222223</v>
      </c>
      <c r="Q163" s="1">
        <f t="shared" si="63"/>
        <v>9.353980350729497</v>
      </c>
      <c r="R163" s="1">
        <f t="shared" si="64"/>
        <v>0.41176470588235292</v>
      </c>
      <c r="S163" s="1">
        <f t="shared" si="65"/>
        <v>0.62329093791960999</v>
      </c>
      <c r="T163" s="9">
        <f t="shared" si="66"/>
        <v>1.4000000000000002E-3</v>
      </c>
      <c r="U163" s="1">
        <f t="shared" si="67"/>
        <v>0.58190936753899103</v>
      </c>
      <c r="V163" s="9">
        <f t="shared" si="68"/>
        <v>8.2520022304835353E-6</v>
      </c>
      <c r="W163" s="9">
        <f t="shared" si="69"/>
        <v>0.4140255086210487</v>
      </c>
      <c r="X163" s="9"/>
      <c r="Y163" s="9"/>
      <c r="Z163" s="11"/>
      <c r="AA163" s="1"/>
    </row>
    <row r="164" spans="5:27" x14ac:dyDescent="0.25">
      <c r="E164" s="8">
        <v>102</v>
      </c>
      <c r="F164" s="11">
        <v>15</v>
      </c>
      <c r="G164" s="11">
        <v>70</v>
      </c>
      <c r="H164" s="11">
        <v>70</v>
      </c>
      <c r="I164" s="11">
        <v>250</v>
      </c>
      <c r="J164" s="11">
        <f t="shared" ref="J164:J195" si="70">I164^2/H164</f>
        <v>892.85714285714289</v>
      </c>
      <c r="K164" s="10">
        <f t="shared" ref="K164:K178" si="71">H164/eff</f>
        <v>93.333333333333329</v>
      </c>
      <c r="L164" s="9">
        <f t="shared" ref="L164:L178" si="72">F164^2*Dmax^2/(2*fs*H164)</f>
        <v>6.5089285714285716E-6</v>
      </c>
      <c r="M164" s="1">
        <f t="shared" ref="M164:M178" si="73">SQRT(2*fs*Lp*H164)/F164</f>
        <v>0.33186342572409711</v>
      </c>
      <c r="N164" s="1">
        <f t="shared" ref="N164:N195" si="74">F164*M164/(I164*(1-M164))</f>
        <v>2.9801999037435373E-2</v>
      </c>
      <c r="O164" s="10">
        <f t="shared" ref="O164:O178" si="75">SQRT(2*H164/(fs*Lp))</f>
        <v>28.124019129160775</v>
      </c>
      <c r="P164" s="1">
        <f t="shared" ref="P164:P178" si="76">H164/(F164*eff)</f>
        <v>6.2222222222222223</v>
      </c>
      <c r="Q164" s="1">
        <f t="shared" ref="Q164:Q178" si="77">O164*SQRT(M164/3)</f>
        <v>9.353980350729497</v>
      </c>
      <c r="R164" s="1">
        <f t="shared" ref="R164:R178" si="78">H164/I164</f>
        <v>0.28000000000000003</v>
      </c>
      <c r="S164" s="1">
        <f t="shared" ref="S164:S195" si="79">SQRT(2*R164*n*O164/3)</f>
        <v>0.51397887450657054</v>
      </c>
      <c r="T164" s="9">
        <f t="shared" ref="T164:T178" si="80">0.5*Lp*O164^2</f>
        <v>1.4000000000000002E-3</v>
      </c>
      <c r="U164" s="1">
        <f t="shared" ref="U164:U178" si="81">F164*M164/(n*I164)</f>
        <v>0.3956983699265138</v>
      </c>
      <c r="V164" s="9">
        <f t="shared" ref="V164:V195" si="82">(n*O164-R164)*U164/(fs*n*O164)</f>
        <v>6.3481953989052742E-6</v>
      </c>
      <c r="W164" s="9">
        <f t="shared" ref="W164:W195" si="83">(n*O164-R164)*V164/(2*Cout)</f>
        <v>0.36032972083590226</v>
      </c>
      <c r="X164" s="9"/>
      <c r="Y164" s="9"/>
      <c r="Z164" s="11"/>
      <c r="AA164" s="1"/>
    </row>
    <row r="165" spans="5:27" x14ac:dyDescent="0.25">
      <c r="E165" s="8">
        <v>137</v>
      </c>
      <c r="F165" s="11">
        <v>15</v>
      </c>
      <c r="G165" s="11">
        <v>70</v>
      </c>
      <c r="H165" s="11">
        <v>70</v>
      </c>
      <c r="I165" s="11">
        <v>400</v>
      </c>
      <c r="J165" s="11">
        <f t="shared" si="70"/>
        <v>2285.7142857142858</v>
      </c>
      <c r="K165" s="10">
        <f t="shared" si="71"/>
        <v>93.333333333333329</v>
      </c>
      <c r="L165" s="9">
        <f t="shared" si="72"/>
        <v>6.5089285714285716E-6</v>
      </c>
      <c r="M165" s="1">
        <f t="shared" si="73"/>
        <v>0.33186342572409711</v>
      </c>
      <c r="N165" s="1">
        <f t="shared" si="74"/>
        <v>1.8626249398397111E-2</v>
      </c>
      <c r="O165" s="10">
        <f t="shared" si="75"/>
        <v>28.124019129160775</v>
      </c>
      <c r="P165" s="1">
        <f t="shared" si="76"/>
        <v>6.2222222222222223</v>
      </c>
      <c r="Q165" s="1">
        <f t="shared" si="77"/>
        <v>9.353980350729497</v>
      </c>
      <c r="R165" s="1">
        <f t="shared" si="78"/>
        <v>0.17499999999999999</v>
      </c>
      <c r="S165" s="1">
        <f t="shared" si="79"/>
        <v>0.40633597816265365</v>
      </c>
      <c r="T165" s="9">
        <f t="shared" si="80"/>
        <v>1.4000000000000002E-3</v>
      </c>
      <c r="U165" s="1">
        <f t="shared" si="81"/>
        <v>0.24731148120407115</v>
      </c>
      <c r="V165" s="9">
        <f t="shared" si="82"/>
        <v>4.334599936727906E-6</v>
      </c>
      <c r="W165" s="9">
        <f t="shared" si="83"/>
        <v>0.26879274134291836</v>
      </c>
      <c r="X165" s="9"/>
      <c r="Y165" s="9"/>
      <c r="Z165" s="11"/>
      <c r="AA165" s="1"/>
    </row>
    <row r="166" spans="5:27" x14ac:dyDescent="0.25">
      <c r="E166" s="8">
        <v>172</v>
      </c>
      <c r="F166" s="11">
        <v>15</v>
      </c>
      <c r="G166" s="11">
        <v>70</v>
      </c>
      <c r="H166" s="11">
        <v>70</v>
      </c>
      <c r="I166" s="11">
        <v>550</v>
      </c>
      <c r="J166" s="11">
        <f t="shared" si="70"/>
        <v>4321.4285714285716</v>
      </c>
      <c r="K166" s="10">
        <f t="shared" si="71"/>
        <v>93.333333333333329</v>
      </c>
      <c r="L166" s="9">
        <f t="shared" si="72"/>
        <v>6.5089285714285716E-6</v>
      </c>
      <c r="M166" s="1">
        <f t="shared" si="73"/>
        <v>0.33186342572409711</v>
      </c>
      <c r="N166" s="1">
        <f t="shared" si="74"/>
        <v>1.3546363198834262E-2</v>
      </c>
      <c r="O166" s="10">
        <f t="shared" si="75"/>
        <v>28.124019129160775</v>
      </c>
      <c r="P166" s="1">
        <f t="shared" si="76"/>
        <v>6.2222222222222223</v>
      </c>
      <c r="Q166" s="1">
        <f t="shared" si="77"/>
        <v>9.353980350729497</v>
      </c>
      <c r="R166" s="1">
        <f t="shared" si="78"/>
        <v>0.12727272727272726</v>
      </c>
      <c r="S166" s="1">
        <f t="shared" si="79"/>
        <v>0.34652448650134177</v>
      </c>
      <c r="T166" s="9">
        <f t="shared" si="80"/>
        <v>1.4000000000000002E-3</v>
      </c>
      <c r="U166" s="1">
        <f t="shared" si="81"/>
        <v>0.17986289542114267</v>
      </c>
      <c r="V166" s="9">
        <f t="shared" si="82"/>
        <v>3.2737512969300844E-6</v>
      </c>
      <c r="W166" s="9">
        <f t="shared" si="83"/>
        <v>0.21082085051139049</v>
      </c>
      <c r="X166" s="9"/>
      <c r="Y166" s="9"/>
      <c r="Z166" s="11"/>
      <c r="AA166" s="1"/>
    </row>
    <row r="167" spans="5:27" x14ac:dyDescent="0.25">
      <c r="E167" s="8">
        <v>68</v>
      </c>
      <c r="F167" s="11">
        <v>18</v>
      </c>
      <c r="G167" s="11">
        <v>70</v>
      </c>
      <c r="H167" s="11">
        <v>70</v>
      </c>
      <c r="I167" s="11">
        <v>170</v>
      </c>
      <c r="J167" s="11">
        <f t="shared" si="70"/>
        <v>412.85714285714283</v>
      </c>
      <c r="K167" s="10">
        <f t="shared" si="71"/>
        <v>93.333333333333329</v>
      </c>
      <c r="L167" s="9">
        <f t="shared" si="72"/>
        <v>9.3728571428571434E-6</v>
      </c>
      <c r="M167" s="1">
        <f t="shared" si="73"/>
        <v>0.2765528547700809</v>
      </c>
      <c r="N167" s="1">
        <f t="shared" si="74"/>
        <v>4.0475751640915623E-2</v>
      </c>
      <c r="O167" s="10">
        <f t="shared" si="75"/>
        <v>28.124019129160775</v>
      </c>
      <c r="P167" s="1">
        <f t="shared" si="76"/>
        <v>5.1851851851851851</v>
      </c>
      <c r="Q167" s="1">
        <f t="shared" si="77"/>
        <v>8.5389767342577176</v>
      </c>
      <c r="R167" s="1">
        <f t="shared" si="78"/>
        <v>0.41176470588235292</v>
      </c>
      <c r="S167" s="1">
        <f t="shared" si="79"/>
        <v>0.62329093791960999</v>
      </c>
      <c r="T167" s="9">
        <f t="shared" si="80"/>
        <v>1.4000000000000002E-3</v>
      </c>
      <c r="U167" s="1">
        <f t="shared" si="81"/>
        <v>0.58190936753899103</v>
      </c>
      <c r="V167" s="9">
        <f t="shared" si="82"/>
        <v>8.2520022304835353E-6</v>
      </c>
      <c r="W167" s="9">
        <f t="shared" si="83"/>
        <v>0.4140255086210487</v>
      </c>
      <c r="X167" s="9"/>
      <c r="Y167" s="9"/>
      <c r="Z167" s="11"/>
      <c r="AA167" s="1"/>
    </row>
    <row r="168" spans="5:27" x14ac:dyDescent="0.25">
      <c r="E168" s="8">
        <v>103</v>
      </c>
      <c r="F168" s="11">
        <v>18</v>
      </c>
      <c r="G168" s="11">
        <v>70</v>
      </c>
      <c r="H168" s="11">
        <v>70</v>
      </c>
      <c r="I168" s="11">
        <v>250</v>
      </c>
      <c r="J168" s="11">
        <f t="shared" si="70"/>
        <v>892.85714285714289</v>
      </c>
      <c r="K168" s="10">
        <f t="shared" si="71"/>
        <v>93.333333333333329</v>
      </c>
      <c r="L168" s="9">
        <f t="shared" si="72"/>
        <v>9.3728571428571434E-6</v>
      </c>
      <c r="M168" s="1">
        <f t="shared" si="73"/>
        <v>0.2765528547700809</v>
      </c>
      <c r="N168" s="1">
        <f t="shared" si="74"/>
        <v>2.752351111582263E-2</v>
      </c>
      <c r="O168" s="10">
        <f t="shared" si="75"/>
        <v>28.124019129160775</v>
      </c>
      <c r="P168" s="1">
        <f t="shared" si="76"/>
        <v>5.1851851851851851</v>
      </c>
      <c r="Q168" s="1">
        <f t="shared" si="77"/>
        <v>8.5389767342577176</v>
      </c>
      <c r="R168" s="1">
        <f t="shared" si="78"/>
        <v>0.28000000000000003</v>
      </c>
      <c r="S168" s="1">
        <f t="shared" si="79"/>
        <v>0.51397887450657054</v>
      </c>
      <c r="T168" s="9">
        <f t="shared" si="80"/>
        <v>1.4000000000000002E-3</v>
      </c>
      <c r="U168" s="1">
        <f t="shared" si="81"/>
        <v>0.3956983699265138</v>
      </c>
      <c r="V168" s="9">
        <f t="shared" si="82"/>
        <v>6.3481953989052742E-6</v>
      </c>
      <c r="W168" s="9">
        <f t="shared" si="83"/>
        <v>0.36032972083590226</v>
      </c>
      <c r="X168" s="9"/>
      <c r="Y168" s="9"/>
      <c r="Z168" s="11"/>
      <c r="AA168" s="1"/>
    </row>
    <row r="169" spans="5:27" x14ac:dyDescent="0.25">
      <c r="E169" s="8">
        <v>138</v>
      </c>
      <c r="F169" s="11">
        <v>18</v>
      </c>
      <c r="G169" s="11">
        <v>70</v>
      </c>
      <c r="H169" s="11">
        <v>70</v>
      </c>
      <c r="I169" s="11">
        <v>400</v>
      </c>
      <c r="J169" s="11">
        <f t="shared" si="70"/>
        <v>2285.7142857142858</v>
      </c>
      <c r="K169" s="10">
        <f t="shared" si="71"/>
        <v>93.333333333333329</v>
      </c>
      <c r="L169" s="9">
        <f t="shared" si="72"/>
        <v>9.3728571428571434E-6</v>
      </c>
      <c r="M169" s="1">
        <f t="shared" si="73"/>
        <v>0.2765528547700809</v>
      </c>
      <c r="N169" s="1">
        <f t="shared" si="74"/>
        <v>1.720219444738914E-2</v>
      </c>
      <c r="O169" s="10">
        <f t="shared" si="75"/>
        <v>28.124019129160775</v>
      </c>
      <c r="P169" s="1">
        <f t="shared" si="76"/>
        <v>5.1851851851851851</v>
      </c>
      <c r="Q169" s="1">
        <f t="shared" si="77"/>
        <v>8.5389767342577176</v>
      </c>
      <c r="R169" s="1">
        <f t="shared" si="78"/>
        <v>0.17499999999999999</v>
      </c>
      <c r="S169" s="1">
        <f t="shared" si="79"/>
        <v>0.40633597816265365</v>
      </c>
      <c r="T169" s="9">
        <f t="shared" si="80"/>
        <v>1.4000000000000002E-3</v>
      </c>
      <c r="U169" s="1">
        <f t="shared" si="81"/>
        <v>0.24731148120407115</v>
      </c>
      <c r="V169" s="9">
        <f t="shared" si="82"/>
        <v>4.334599936727906E-6</v>
      </c>
      <c r="W169" s="9">
        <f t="shared" si="83"/>
        <v>0.26879274134291836</v>
      </c>
      <c r="X169" s="9"/>
      <c r="Y169" s="9"/>
      <c r="Z169" s="11"/>
      <c r="AA169" s="1"/>
    </row>
    <row r="170" spans="5:27" x14ac:dyDescent="0.25">
      <c r="E170" s="8">
        <v>173</v>
      </c>
      <c r="F170" s="11">
        <v>18</v>
      </c>
      <c r="G170" s="11">
        <v>70</v>
      </c>
      <c r="H170" s="11">
        <v>70</v>
      </c>
      <c r="I170" s="11">
        <v>550</v>
      </c>
      <c r="J170" s="11">
        <f t="shared" si="70"/>
        <v>4321.4285714285716</v>
      </c>
      <c r="K170" s="10">
        <f t="shared" si="71"/>
        <v>93.333333333333329</v>
      </c>
      <c r="L170" s="9">
        <f t="shared" si="72"/>
        <v>9.3728571428571434E-6</v>
      </c>
      <c r="M170" s="1">
        <f t="shared" si="73"/>
        <v>0.2765528547700809</v>
      </c>
      <c r="N170" s="1">
        <f t="shared" si="74"/>
        <v>1.2510686870828468E-2</v>
      </c>
      <c r="O170" s="10">
        <f t="shared" si="75"/>
        <v>28.124019129160775</v>
      </c>
      <c r="P170" s="1">
        <f t="shared" si="76"/>
        <v>5.1851851851851851</v>
      </c>
      <c r="Q170" s="1">
        <f t="shared" si="77"/>
        <v>8.5389767342577176</v>
      </c>
      <c r="R170" s="1">
        <f t="shared" si="78"/>
        <v>0.12727272727272726</v>
      </c>
      <c r="S170" s="1">
        <f t="shared" si="79"/>
        <v>0.34652448650134177</v>
      </c>
      <c r="T170" s="9">
        <f t="shared" si="80"/>
        <v>1.4000000000000002E-3</v>
      </c>
      <c r="U170" s="1">
        <f t="shared" si="81"/>
        <v>0.17986289542114267</v>
      </c>
      <c r="V170" s="9">
        <f t="shared" si="82"/>
        <v>3.2737512969300844E-6</v>
      </c>
      <c r="W170" s="9">
        <f t="shared" si="83"/>
        <v>0.21082085051139049</v>
      </c>
      <c r="X170" s="9"/>
      <c r="Y170" s="9"/>
      <c r="Z170" s="11"/>
      <c r="AA170" s="1"/>
    </row>
    <row r="171" spans="5:27" x14ac:dyDescent="0.25">
      <c r="E171" s="8">
        <v>140</v>
      </c>
      <c r="F171" s="11">
        <v>24</v>
      </c>
      <c r="G171" s="11">
        <v>70</v>
      </c>
      <c r="H171" s="11">
        <v>70</v>
      </c>
      <c r="I171" s="11">
        <v>400</v>
      </c>
      <c r="J171" s="11">
        <f t="shared" si="70"/>
        <v>2285.7142857142858</v>
      </c>
      <c r="K171" s="10">
        <f t="shared" si="71"/>
        <v>93.333333333333329</v>
      </c>
      <c r="L171" s="9">
        <f t="shared" si="72"/>
        <v>1.6662857142857146E-5</v>
      </c>
      <c r="M171" s="1">
        <f t="shared" si="73"/>
        <v>0.20741464107756069</v>
      </c>
      <c r="N171" s="1">
        <f t="shared" si="74"/>
        <v>1.5701625477378356E-2</v>
      </c>
      <c r="O171" s="10">
        <f t="shared" si="75"/>
        <v>28.124019129160775</v>
      </c>
      <c r="P171" s="1">
        <f t="shared" si="76"/>
        <v>3.8888888888888888</v>
      </c>
      <c r="Q171" s="1">
        <f t="shared" si="77"/>
        <v>7.3949707741914672</v>
      </c>
      <c r="R171" s="1">
        <f t="shared" si="78"/>
        <v>0.17499999999999999</v>
      </c>
      <c r="S171" s="1">
        <f t="shared" si="79"/>
        <v>0.40633597816265365</v>
      </c>
      <c r="T171" s="9">
        <f t="shared" si="80"/>
        <v>1.4000000000000002E-3</v>
      </c>
      <c r="U171" s="1">
        <f t="shared" si="81"/>
        <v>0.24731148120407115</v>
      </c>
      <c r="V171" s="9">
        <f t="shared" si="82"/>
        <v>4.334599936727906E-6</v>
      </c>
      <c r="W171" s="9">
        <f t="shared" si="83"/>
        <v>0.26879274134291836</v>
      </c>
      <c r="X171" s="9"/>
      <c r="Y171" s="9"/>
      <c r="Z171" s="11"/>
      <c r="AA171" s="1"/>
    </row>
    <row r="172" spans="5:27" x14ac:dyDescent="0.25">
      <c r="E172" s="8">
        <v>175</v>
      </c>
      <c r="F172" s="11">
        <v>24</v>
      </c>
      <c r="G172" s="11">
        <v>70</v>
      </c>
      <c r="H172" s="11">
        <v>70</v>
      </c>
      <c r="I172" s="11">
        <v>550</v>
      </c>
      <c r="J172" s="11">
        <f t="shared" si="70"/>
        <v>4321.4285714285716</v>
      </c>
      <c r="K172" s="10">
        <f t="shared" si="71"/>
        <v>93.333333333333329</v>
      </c>
      <c r="L172" s="9">
        <f t="shared" si="72"/>
        <v>1.6662857142857146E-5</v>
      </c>
      <c r="M172" s="1">
        <f t="shared" si="73"/>
        <v>0.20741464107756069</v>
      </c>
      <c r="N172" s="1">
        <f t="shared" si="74"/>
        <v>1.1419363983547894E-2</v>
      </c>
      <c r="O172" s="10">
        <f t="shared" si="75"/>
        <v>28.124019129160775</v>
      </c>
      <c r="P172" s="1">
        <f t="shared" si="76"/>
        <v>3.8888888888888888</v>
      </c>
      <c r="Q172" s="1">
        <f t="shared" si="77"/>
        <v>7.3949707741914672</v>
      </c>
      <c r="R172" s="1">
        <f t="shared" si="78"/>
        <v>0.12727272727272726</v>
      </c>
      <c r="S172" s="1">
        <f t="shared" si="79"/>
        <v>0.34652448650134177</v>
      </c>
      <c r="T172" s="9">
        <f t="shared" si="80"/>
        <v>1.4000000000000002E-3</v>
      </c>
      <c r="U172" s="1">
        <f t="shared" si="81"/>
        <v>0.17986289542114267</v>
      </c>
      <c r="V172" s="9">
        <f t="shared" si="82"/>
        <v>3.2737512969300844E-6</v>
      </c>
      <c r="W172" s="9">
        <f t="shared" si="83"/>
        <v>0.21082085051139049</v>
      </c>
      <c r="X172" s="9"/>
      <c r="Y172" s="9"/>
      <c r="Z172" s="11"/>
      <c r="AA172" s="1"/>
    </row>
    <row r="173" spans="5:27" x14ac:dyDescent="0.25">
      <c r="E173" s="8">
        <v>69</v>
      </c>
      <c r="F173" s="11">
        <v>20</v>
      </c>
      <c r="G173" s="11">
        <v>70</v>
      </c>
      <c r="H173" s="11">
        <v>70</v>
      </c>
      <c r="I173" s="11">
        <v>170</v>
      </c>
      <c r="J173" s="11">
        <f t="shared" si="70"/>
        <v>412.85714285714283</v>
      </c>
      <c r="K173" s="10">
        <f t="shared" si="71"/>
        <v>93.333333333333329</v>
      </c>
      <c r="L173" s="9">
        <f t="shared" si="72"/>
        <v>1.1571428571428571E-5</v>
      </c>
      <c r="M173" s="1">
        <f t="shared" si="73"/>
        <v>0.24889756929307283</v>
      </c>
      <c r="N173" s="1">
        <f t="shared" si="74"/>
        <v>3.8985450956530325E-2</v>
      </c>
      <c r="O173" s="10">
        <f t="shared" si="75"/>
        <v>28.124019129160775</v>
      </c>
      <c r="P173" s="1">
        <f t="shared" si="76"/>
        <v>4.666666666666667</v>
      </c>
      <c r="Q173" s="1">
        <f t="shared" si="77"/>
        <v>8.1007846102322176</v>
      </c>
      <c r="R173" s="1">
        <f t="shared" si="78"/>
        <v>0.41176470588235292</v>
      </c>
      <c r="S173" s="1">
        <f t="shared" si="79"/>
        <v>0.62329093791960999</v>
      </c>
      <c r="T173" s="9">
        <f t="shared" si="80"/>
        <v>1.4000000000000002E-3</v>
      </c>
      <c r="U173" s="1">
        <f t="shared" si="81"/>
        <v>0.58190936753899103</v>
      </c>
      <c r="V173" s="9">
        <f t="shared" si="82"/>
        <v>8.2520022304835353E-6</v>
      </c>
      <c r="W173" s="9">
        <f t="shared" si="83"/>
        <v>0.4140255086210487</v>
      </c>
      <c r="X173" s="9"/>
      <c r="Y173" s="9"/>
      <c r="Z173" s="11"/>
      <c r="AA173" s="1"/>
    </row>
    <row r="174" spans="5:27" x14ac:dyDescent="0.25">
      <c r="E174" s="8">
        <v>104</v>
      </c>
      <c r="F174" s="11">
        <v>20</v>
      </c>
      <c r="G174" s="11">
        <v>70</v>
      </c>
      <c r="H174" s="11">
        <v>70</v>
      </c>
      <c r="I174" s="11">
        <v>250</v>
      </c>
      <c r="J174" s="11">
        <f t="shared" si="70"/>
        <v>892.85714285714289</v>
      </c>
      <c r="K174" s="10">
        <f t="shared" si="71"/>
        <v>93.333333333333329</v>
      </c>
      <c r="L174" s="9">
        <f t="shared" si="72"/>
        <v>1.1571428571428571E-5</v>
      </c>
      <c r="M174" s="1">
        <f t="shared" si="73"/>
        <v>0.24889756929307283</v>
      </c>
      <c r="N174" s="1">
        <f t="shared" si="74"/>
        <v>2.651010665044062E-2</v>
      </c>
      <c r="O174" s="10">
        <f t="shared" si="75"/>
        <v>28.124019129160775</v>
      </c>
      <c r="P174" s="1">
        <f t="shared" si="76"/>
        <v>4.666666666666667</v>
      </c>
      <c r="Q174" s="1">
        <f t="shared" si="77"/>
        <v>8.1007846102322176</v>
      </c>
      <c r="R174" s="1">
        <f t="shared" si="78"/>
        <v>0.28000000000000003</v>
      </c>
      <c r="S174" s="1">
        <f t="shared" si="79"/>
        <v>0.51397887450657054</v>
      </c>
      <c r="T174" s="9">
        <f t="shared" si="80"/>
        <v>1.4000000000000002E-3</v>
      </c>
      <c r="U174" s="1">
        <f t="shared" si="81"/>
        <v>0.3956983699265138</v>
      </c>
      <c r="V174" s="9">
        <f t="shared" si="82"/>
        <v>6.3481953989052742E-6</v>
      </c>
      <c r="W174" s="9">
        <f t="shared" si="83"/>
        <v>0.36032972083590226</v>
      </c>
      <c r="X174" s="9"/>
      <c r="Y174" s="9"/>
      <c r="Z174" s="11"/>
      <c r="AA174" s="1"/>
    </row>
    <row r="175" spans="5:27" x14ac:dyDescent="0.25">
      <c r="E175" s="8">
        <v>139</v>
      </c>
      <c r="F175" s="11">
        <v>20</v>
      </c>
      <c r="G175" s="11">
        <v>70</v>
      </c>
      <c r="H175" s="11">
        <v>70</v>
      </c>
      <c r="I175" s="11">
        <v>400</v>
      </c>
      <c r="J175" s="11">
        <f t="shared" si="70"/>
        <v>2285.7142857142858</v>
      </c>
      <c r="K175" s="10">
        <f t="shared" si="71"/>
        <v>93.333333333333329</v>
      </c>
      <c r="L175" s="9">
        <f t="shared" si="72"/>
        <v>1.1571428571428571E-5</v>
      </c>
      <c r="M175" s="1">
        <f t="shared" si="73"/>
        <v>0.24889756929307283</v>
      </c>
      <c r="N175" s="1">
        <f t="shared" si="74"/>
        <v>1.656881665652539E-2</v>
      </c>
      <c r="O175" s="10">
        <f t="shared" si="75"/>
        <v>28.124019129160775</v>
      </c>
      <c r="P175" s="1">
        <f t="shared" si="76"/>
        <v>4.666666666666667</v>
      </c>
      <c r="Q175" s="1">
        <f t="shared" si="77"/>
        <v>8.1007846102322176</v>
      </c>
      <c r="R175" s="1">
        <f t="shared" si="78"/>
        <v>0.17499999999999999</v>
      </c>
      <c r="S175" s="1">
        <f t="shared" si="79"/>
        <v>0.40633597816265365</v>
      </c>
      <c r="T175" s="9">
        <f t="shared" si="80"/>
        <v>1.4000000000000002E-3</v>
      </c>
      <c r="U175" s="1">
        <f t="shared" si="81"/>
        <v>0.24731148120407115</v>
      </c>
      <c r="V175" s="9">
        <f t="shared" si="82"/>
        <v>4.334599936727906E-6</v>
      </c>
      <c r="W175" s="9">
        <f t="shared" si="83"/>
        <v>0.26879274134291836</v>
      </c>
      <c r="X175" s="9"/>
      <c r="Y175" s="9"/>
      <c r="Z175" s="11"/>
      <c r="AA175" s="1"/>
    </row>
    <row r="176" spans="5:27" x14ac:dyDescent="0.25">
      <c r="E176" s="8">
        <v>174</v>
      </c>
      <c r="F176" s="11">
        <v>20</v>
      </c>
      <c r="G176" s="11">
        <v>70</v>
      </c>
      <c r="H176" s="11">
        <v>70</v>
      </c>
      <c r="I176" s="11">
        <v>550</v>
      </c>
      <c r="J176" s="11">
        <f t="shared" si="70"/>
        <v>4321.4285714285716</v>
      </c>
      <c r="K176" s="10">
        <f t="shared" si="71"/>
        <v>93.333333333333329</v>
      </c>
      <c r="L176" s="9">
        <f t="shared" si="72"/>
        <v>1.1571428571428571E-5</v>
      </c>
      <c r="M176" s="1">
        <f t="shared" si="73"/>
        <v>0.24889756929307283</v>
      </c>
      <c r="N176" s="1">
        <f t="shared" si="74"/>
        <v>1.205004847747301E-2</v>
      </c>
      <c r="O176" s="10">
        <f t="shared" si="75"/>
        <v>28.124019129160775</v>
      </c>
      <c r="P176" s="1">
        <f t="shared" si="76"/>
        <v>4.666666666666667</v>
      </c>
      <c r="Q176" s="1">
        <f t="shared" si="77"/>
        <v>8.1007846102322176</v>
      </c>
      <c r="R176" s="1">
        <f t="shared" si="78"/>
        <v>0.12727272727272726</v>
      </c>
      <c r="S176" s="1">
        <f t="shared" si="79"/>
        <v>0.34652448650134177</v>
      </c>
      <c r="T176" s="9">
        <f t="shared" si="80"/>
        <v>1.4000000000000002E-3</v>
      </c>
      <c r="U176" s="1">
        <f t="shared" si="81"/>
        <v>0.17986289542114267</v>
      </c>
      <c r="V176" s="9">
        <f t="shared" si="82"/>
        <v>3.2737512969300844E-6</v>
      </c>
      <c r="W176" s="9">
        <f t="shared" si="83"/>
        <v>0.21082085051139049</v>
      </c>
      <c r="X176" s="9"/>
      <c r="Y176" s="9"/>
      <c r="Z176" s="11"/>
      <c r="AA176" s="1"/>
    </row>
    <row r="177" spans="5:27" x14ac:dyDescent="0.25">
      <c r="E177" s="8">
        <v>70</v>
      </c>
      <c r="F177" s="11">
        <v>24</v>
      </c>
      <c r="G177" s="11">
        <v>70</v>
      </c>
      <c r="H177" s="11">
        <v>70</v>
      </c>
      <c r="I177" s="11">
        <v>170</v>
      </c>
      <c r="J177" s="11">
        <f t="shared" si="70"/>
        <v>412.85714285714283</v>
      </c>
      <c r="K177" s="10">
        <f t="shared" si="71"/>
        <v>93.333333333333329</v>
      </c>
      <c r="L177" s="9">
        <f t="shared" si="72"/>
        <v>1.6662857142857146E-5</v>
      </c>
      <c r="M177" s="1">
        <f t="shared" si="73"/>
        <v>0.20741464107756069</v>
      </c>
      <c r="N177" s="1">
        <f t="shared" si="74"/>
        <v>3.6945001123243192E-2</v>
      </c>
      <c r="O177" s="10">
        <f t="shared" si="75"/>
        <v>28.124019129160775</v>
      </c>
      <c r="P177" s="1">
        <f t="shared" si="76"/>
        <v>3.8888888888888888</v>
      </c>
      <c r="Q177" s="1">
        <f t="shared" si="77"/>
        <v>7.3949707741914672</v>
      </c>
      <c r="R177" s="1">
        <f t="shared" si="78"/>
        <v>0.41176470588235292</v>
      </c>
      <c r="S177" s="1">
        <f t="shared" si="79"/>
        <v>0.62329093791960999</v>
      </c>
      <c r="T177" s="9">
        <f t="shared" si="80"/>
        <v>1.4000000000000002E-3</v>
      </c>
      <c r="U177" s="1">
        <f t="shared" si="81"/>
        <v>0.58190936753899103</v>
      </c>
      <c r="V177" s="9">
        <f t="shared" si="82"/>
        <v>8.2520022304835353E-6</v>
      </c>
      <c r="W177" s="9">
        <f t="shared" si="83"/>
        <v>0.4140255086210487</v>
      </c>
      <c r="X177" s="9"/>
      <c r="Y177" s="9"/>
      <c r="Z177" s="11"/>
      <c r="AA177" s="1"/>
    </row>
    <row r="178" spans="5:27" x14ac:dyDescent="0.25">
      <c r="E178" s="8">
        <v>105</v>
      </c>
      <c r="F178" s="11">
        <v>24</v>
      </c>
      <c r="G178" s="11">
        <v>70</v>
      </c>
      <c r="H178" s="11">
        <v>70</v>
      </c>
      <c r="I178" s="11">
        <v>250</v>
      </c>
      <c r="J178" s="11">
        <f t="shared" si="70"/>
        <v>892.85714285714289</v>
      </c>
      <c r="K178" s="10">
        <f t="shared" si="71"/>
        <v>93.333333333333329</v>
      </c>
      <c r="L178" s="9">
        <f t="shared" si="72"/>
        <v>1.6662857142857146E-5</v>
      </c>
      <c r="M178" s="1">
        <f t="shared" si="73"/>
        <v>0.20741464107756069</v>
      </c>
      <c r="N178" s="1">
        <f t="shared" si="74"/>
        <v>2.5122600763805368E-2</v>
      </c>
      <c r="O178" s="10">
        <f t="shared" si="75"/>
        <v>28.124019129160775</v>
      </c>
      <c r="P178" s="1">
        <f t="shared" si="76"/>
        <v>3.8888888888888888</v>
      </c>
      <c r="Q178" s="1">
        <f t="shared" si="77"/>
        <v>7.3949707741914672</v>
      </c>
      <c r="R178" s="1">
        <f t="shared" si="78"/>
        <v>0.28000000000000003</v>
      </c>
      <c r="S178" s="1">
        <f t="shared" si="79"/>
        <v>0.51397887450657054</v>
      </c>
      <c r="T178" s="9">
        <f t="shared" si="80"/>
        <v>1.4000000000000002E-3</v>
      </c>
      <c r="U178" s="1">
        <f t="shared" si="81"/>
        <v>0.3956983699265138</v>
      </c>
      <c r="V178" s="9">
        <f t="shared" si="82"/>
        <v>6.3481953989052742E-6</v>
      </c>
      <c r="W178" s="9">
        <f t="shared" si="83"/>
        <v>0.36032972083590226</v>
      </c>
      <c r="X178" s="9"/>
      <c r="Y178" s="9"/>
      <c r="Z178" s="11"/>
      <c r="AA178" s="1"/>
    </row>
    <row r="179" spans="5:27" x14ac:dyDescent="0.25">
      <c r="Y179" s="9"/>
      <c r="Z179" s="11"/>
    </row>
  </sheetData>
  <autoFilter ref="E3:Z178" xr:uid="{F429C762-8912-4F39-9ACC-2764DD889BB5}">
    <sortState xmlns:xlrd2="http://schemas.microsoft.com/office/spreadsheetml/2017/richdata2" ref="E4:Z178">
      <sortCondition ref="H3:H178"/>
    </sortState>
  </autoFilter>
  <mergeCells count="2">
    <mergeCell ref="B3:C3"/>
    <mergeCell ref="B17:C17"/>
  </mergeCells>
  <conditionalFormatting sqref="L4:L178">
    <cfRule type="expression" dxfId="1" priority="5">
      <formula>L4&lt;Lp</formula>
    </cfRule>
  </conditionalFormatting>
  <conditionalFormatting sqref="M4:M178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:N178">
    <cfRule type="expression" dxfId="0" priority="3">
      <formula>N4&gt;n</formula>
    </cfRule>
  </conditionalFormatting>
  <conditionalFormatting sqref="O4:O178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7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755C-8EFB-4583-AD6C-97B1A6BDFEAB}">
  <dimension ref="B2:S42"/>
  <sheetViews>
    <sheetView workbookViewId="0">
      <selection activeCell="E22" sqref="E22"/>
    </sheetView>
  </sheetViews>
  <sheetFormatPr defaultRowHeight="15" x14ac:dyDescent="0.25"/>
  <cols>
    <col min="7" max="7" width="5.5703125" customWidth="1"/>
    <col min="8" max="8" width="12" bestFit="1" customWidth="1"/>
    <col min="9" max="9" width="7" bestFit="1" customWidth="1"/>
    <col min="10" max="10" width="3.7109375" bestFit="1" customWidth="1"/>
    <col min="11" max="11" width="8.5703125" bestFit="1" customWidth="1"/>
    <col min="12" max="12" width="12" bestFit="1" customWidth="1"/>
    <col min="13" max="13" width="3.7109375" bestFit="1" customWidth="1"/>
    <col min="14" max="14" width="8.5703125" bestFit="1" customWidth="1"/>
    <col min="15" max="15" width="6" bestFit="1" customWidth="1"/>
    <col min="16" max="16" width="12" bestFit="1" customWidth="1"/>
    <col min="17" max="17" width="8.5703125" bestFit="1" customWidth="1"/>
    <col min="18" max="18" width="7" bestFit="1" customWidth="1"/>
  </cols>
  <sheetData>
    <row r="2" spans="2:18" x14ac:dyDescent="0.25">
      <c r="B2" s="30" t="s">
        <v>49</v>
      </c>
      <c r="D2" t="s">
        <v>50</v>
      </c>
    </row>
    <row r="3" spans="2:18" x14ac:dyDescent="0.25">
      <c r="B3" t="s">
        <v>54</v>
      </c>
      <c r="D3" t="s">
        <v>55</v>
      </c>
      <c r="M3" s="8"/>
    </row>
    <row r="4" spans="2:18" x14ac:dyDescent="0.25">
      <c r="M4" s="8"/>
    </row>
    <row r="5" spans="2:18" x14ac:dyDescent="0.25">
      <c r="B5" s="30" t="s">
        <v>53</v>
      </c>
      <c r="M5" s="8"/>
    </row>
    <row r="6" spans="2:18" x14ac:dyDescent="0.25">
      <c r="M6" s="8"/>
    </row>
    <row r="7" spans="2:18" x14ac:dyDescent="0.25">
      <c r="B7" t="s">
        <v>70</v>
      </c>
      <c r="C7" s="40">
        <v>1.0000000000000001E-5</v>
      </c>
      <c r="D7" s="40">
        <v>1.0000000000000001E-5</v>
      </c>
      <c r="E7" s="40">
        <v>1.0000000000000001E-5</v>
      </c>
      <c r="F7" s="40">
        <v>1.0000000000000001E-5</v>
      </c>
      <c r="G7" s="12"/>
      <c r="H7" s="8" t="s">
        <v>84</v>
      </c>
      <c r="I7" s="8" t="s">
        <v>85</v>
      </c>
      <c r="K7" s="8" t="s">
        <v>84</v>
      </c>
      <c r="L7" s="8" t="s">
        <v>86</v>
      </c>
      <c r="M7" s="8"/>
      <c r="N7" s="8" t="s">
        <v>84</v>
      </c>
      <c r="O7" s="8" t="s">
        <v>87</v>
      </c>
      <c r="Q7" s="8" t="s">
        <v>84</v>
      </c>
      <c r="R7" s="8" t="s">
        <v>88</v>
      </c>
    </row>
    <row r="8" spans="2:18" x14ac:dyDescent="0.25">
      <c r="B8" t="s">
        <v>71</v>
      </c>
      <c r="C8" s="8">
        <v>1</v>
      </c>
      <c r="D8" s="8">
        <v>1</v>
      </c>
      <c r="E8" s="8">
        <v>1</v>
      </c>
      <c r="F8" s="8">
        <v>1</v>
      </c>
      <c r="H8" s="1">
        <f>H9/100</f>
        <v>1.1140846016432672E-2</v>
      </c>
      <c r="I8" s="11">
        <f>I9</f>
        <v>40</v>
      </c>
      <c r="K8" s="10">
        <f>K9/100</f>
        <v>3.1830988618379061E-5</v>
      </c>
      <c r="L8" s="11">
        <f>L9</f>
        <v>53.979400086720375</v>
      </c>
      <c r="M8" s="8"/>
      <c r="N8" s="10">
        <f>N9/100</f>
        <v>7.9577471545947678E-4</v>
      </c>
      <c r="O8" s="11">
        <f>O9</f>
        <v>40</v>
      </c>
      <c r="Q8" s="10">
        <f>Q9/100</f>
        <v>4.4563384065730692E-4</v>
      </c>
      <c r="R8" s="11">
        <f>R9</f>
        <v>53.979400086720375</v>
      </c>
    </row>
    <row r="9" spans="2:18" x14ac:dyDescent="0.25">
      <c r="B9" t="s">
        <v>66</v>
      </c>
      <c r="C9" s="8">
        <v>100</v>
      </c>
      <c r="D9" s="8">
        <v>500</v>
      </c>
      <c r="E9" s="8">
        <v>100</v>
      </c>
      <c r="F9" s="8">
        <v>500</v>
      </c>
      <c r="G9" s="29"/>
      <c r="H9" s="1">
        <f>H10/100</f>
        <v>1.1140846016432673</v>
      </c>
      <c r="I9" s="11">
        <f>C18</f>
        <v>40</v>
      </c>
      <c r="K9" s="10">
        <f>K10/100</f>
        <v>3.1830988618379063E-3</v>
      </c>
      <c r="L9" s="11">
        <f>D18</f>
        <v>53.979400086720375</v>
      </c>
      <c r="M9" s="8"/>
      <c r="N9" s="10">
        <f>N10/100</f>
        <v>7.9577471545947673E-2</v>
      </c>
      <c r="O9" s="11">
        <f>E18</f>
        <v>40</v>
      </c>
      <c r="Q9" s="10">
        <f>Q10/100</f>
        <v>4.4563384065730689E-2</v>
      </c>
      <c r="R9" s="1">
        <f>F18</f>
        <v>53.979400086720375</v>
      </c>
    </row>
    <row r="10" spans="2:18" x14ac:dyDescent="0.25">
      <c r="B10" t="s">
        <v>67</v>
      </c>
      <c r="C10" s="8">
        <v>70</v>
      </c>
      <c r="D10" s="8">
        <v>5</v>
      </c>
      <c r="E10" s="8">
        <v>5</v>
      </c>
      <c r="F10" s="8">
        <v>70</v>
      </c>
      <c r="H10" s="1">
        <f>C15</f>
        <v>111.40846016432673</v>
      </c>
      <c r="I10" s="11">
        <f>I9</f>
        <v>40</v>
      </c>
      <c r="K10" s="10">
        <f>D15</f>
        <v>0.31830988618379064</v>
      </c>
      <c r="L10" s="11">
        <f>L9</f>
        <v>53.979400086720375</v>
      </c>
      <c r="M10" s="8"/>
      <c r="N10" s="10">
        <f>E15</f>
        <v>7.9577471545947667</v>
      </c>
      <c r="O10" s="11">
        <f>O9</f>
        <v>40</v>
      </c>
      <c r="Q10" s="10">
        <f>F15</f>
        <v>4.4563384065730691</v>
      </c>
      <c r="R10" s="11">
        <f>R9</f>
        <v>53.979400086720375</v>
      </c>
    </row>
    <row r="11" spans="2:18" x14ac:dyDescent="0.25">
      <c r="B11" t="s">
        <v>69</v>
      </c>
      <c r="C11" s="11">
        <f>C9^2/C10</f>
        <v>142.85714285714286</v>
      </c>
      <c r="D11" s="11">
        <f>D9^2/D10</f>
        <v>50000</v>
      </c>
      <c r="E11" s="11">
        <f>E9^2/E10</f>
        <v>2000</v>
      </c>
      <c r="F11" s="11">
        <f>F9^2/F10</f>
        <v>3571.4285714285716</v>
      </c>
      <c r="H11" s="1">
        <f>H10*10</f>
        <v>1114.0846016432672</v>
      </c>
      <c r="I11" s="11">
        <f>I10-20</f>
        <v>20</v>
      </c>
      <c r="K11" s="10">
        <f>K10*10</f>
        <v>3.1830988618379061</v>
      </c>
      <c r="L11" s="11">
        <f>L10-20</f>
        <v>33.979400086720375</v>
      </c>
      <c r="M11" s="8"/>
      <c r="N11" s="10">
        <f>N10*10</f>
        <v>79.577471545947674</v>
      </c>
      <c r="O11" s="11">
        <f>O10-20</f>
        <v>20</v>
      </c>
      <c r="Q11" s="10">
        <f>Q10*10</f>
        <v>44.563384065730688</v>
      </c>
      <c r="R11" s="11">
        <f>R10-20</f>
        <v>33.979400086720375</v>
      </c>
    </row>
    <row r="12" spans="2:18" x14ac:dyDescent="0.25">
      <c r="B12" t="s">
        <v>68</v>
      </c>
      <c r="C12" s="8">
        <f>C10/C9</f>
        <v>0.7</v>
      </c>
      <c r="D12" s="8">
        <f>D10/D9</f>
        <v>0.01</v>
      </c>
      <c r="E12" s="8">
        <f>E10/E9</f>
        <v>0.05</v>
      </c>
      <c r="F12" s="8">
        <f>F10/F9</f>
        <v>0.14000000000000001</v>
      </c>
      <c r="H12" s="1">
        <f>H11*10</f>
        <v>11140.846016432672</v>
      </c>
      <c r="I12" s="11">
        <f>I11-20</f>
        <v>0</v>
      </c>
      <c r="K12" s="10">
        <f>K11*10</f>
        <v>31.83098861837906</v>
      </c>
      <c r="L12" s="11">
        <f>L11-20</f>
        <v>13.979400086720375</v>
      </c>
      <c r="M12" s="8"/>
      <c r="N12" s="10">
        <f>N11*10</f>
        <v>795.77471545947674</v>
      </c>
      <c r="O12" s="11">
        <f>O11-20</f>
        <v>0</v>
      </c>
      <c r="Q12" s="10">
        <f>Q11*10</f>
        <v>445.63384065730691</v>
      </c>
      <c r="R12" s="11">
        <f>R11-20</f>
        <v>13.979400086720375</v>
      </c>
    </row>
    <row r="13" spans="2:18" x14ac:dyDescent="0.25">
      <c r="C13" s="8"/>
      <c r="D13" s="8"/>
      <c r="E13" s="8"/>
      <c r="F13" s="8"/>
      <c r="H13" s="1">
        <f>C16</f>
        <v>15915.494309189533</v>
      </c>
      <c r="I13" s="11">
        <v>-3</v>
      </c>
      <c r="K13" s="10">
        <f>K12*10</f>
        <v>318.30988618379058</v>
      </c>
      <c r="L13" s="11">
        <f>L12-20</f>
        <v>-6.0205999132796251</v>
      </c>
      <c r="M13" s="8"/>
      <c r="N13" s="10">
        <f>N12*10</f>
        <v>7957.7471545947674</v>
      </c>
      <c r="O13" s="11">
        <f>O12-20</f>
        <v>-20</v>
      </c>
      <c r="Q13" s="10">
        <f>Q12*10</f>
        <v>4456.3384065730688</v>
      </c>
      <c r="R13" s="11">
        <f>R12-20</f>
        <v>-6.0205999132796251</v>
      </c>
    </row>
    <row r="14" spans="2:18" x14ac:dyDescent="0.25">
      <c r="C14" s="8">
        <v>1</v>
      </c>
      <c r="D14" s="8">
        <v>2</v>
      </c>
      <c r="E14" s="8">
        <v>3</v>
      </c>
      <c r="F14" s="8">
        <v>4</v>
      </c>
      <c r="G14" s="29"/>
      <c r="H14" s="1">
        <f>H13*10</f>
        <v>159154.94309189531</v>
      </c>
      <c r="I14" s="11">
        <f>I13</f>
        <v>-3</v>
      </c>
      <c r="K14" s="10">
        <f>K13*10</f>
        <v>3183.098861837906</v>
      </c>
      <c r="L14" s="11">
        <f>L13-20</f>
        <v>-26.020599913279625</v>
      </c>
      <c r="M14" s="8"/>
      <c r="N14" s="10">
        <f>E16</f>
        <v>15915.494309189533</v>
      </c>
      <c r="O14" s="11">
        <v>-26</v>
      </c>
      <c r="Q14" s="10">
        <f>F16</f>
        <v>15915.494309189533</v>
      </c>
      <c r="R14" s="11">
        <v>-16.7</v>
      </c>
    </row>
    <row r="15" spans="2:18" x14ac:dyDescent="0.25">
      <c r="B15" t="s">
        <v>72</v>
      </c>
      <c r="C15" s="1">
        <f>1/(2*PI()*C7*C11)</f>
        <v>111.40846016432673</v>
      </c>
      <c r="D15" s="1">
        <f>1/(2*PI()*D7*D11)</f>
        <v>0.31830988618379064</v>
      </c>
      <c r="E15" s="1">
        <f>1/(2*PI()*E7*E11)</f>
        <v>7.9577471545947667</v>
      </c>
      <c r="F15" s="1">
        <f>1/(2*PI()*F7*F11)</f>
        <v>4.4563384065730691</v>
      </c>
      <c r="K15" s="10">
        <f>D16</f>
        <v>15915.494309189533</v>
      </c>
      <c r="L15" s="11">
        <v>-40</v>
      </c>
      <c r="M15" s="8"/>
      <c r="N15" s="10">
        <f>N14*10</f>
        <v>159154.94309189531</v>
      </c>
      <c r="O15" s="11">
        <f>O14</f>
        <v>-26</v>
      </c>
      <c r="Q15" s="10">
        <f>Q14*10</f>
        <v>159154.94309189531</v>
      </c>
      <c r="R15" s="11">
        <f>R14</f>
        <v>-16.7</v>
      </c>
    </row>
    <row r="16" spans="2:18" x14ac:dyDescent="0.25">
      <c r="B16" t="s">
        <v>73</v>
      </c>
      <c r="C16" s="1">
        <f>1/(2*PI()*C7*C8)</f>
        <v>15915.494309189533</v>
      </c>
      <c r="D16" s="1">
        <f>1/(2*PI()*D7*D8)</f>
        <v>15915.494309189533</v>
      </c>
      <c r="E16" s="1">
        <f>1/(2*PI()*E7*E8)</f>
        <v>15915.494309189533</v>
      </c>
      <c r="F16" s="1">
        <f>1/(2*PI()*F7*F8)</f>
        <v>15915.494309189533</v>
      </c>
      <c r="K16" s="10">
        <f>K15*10</f>
        <v>159154.94309189531</v>
      </c>
      <c r="L16" s="11">
        <f>L15</f>
        <v>-40</v>
      </c>
      <c r="M16" s="8"/>
      <c r="N16" s="8"/>
      <c r="O16" s="8"/>
    </row>
    <row r="17" spans="2:18" x14ac:dyDescent="0.25">
      <c r="B17" t="s">
        <v>74</v>
      </c>
      <c r="C17" s="8">
        <f>C11*C12</f>
        <v>100</v>
      </c>
      <c r="D17" s="8">
        <f>D11*D12</f>
        <v>500</v>
      </c>
      <c r="E17" s="8">
        <f>E11*E12</f>
        <v>100</v>
      </c>
      <c r="F17" s="8">
        <f>F11*F12</f>
        <v>500.00000000000006</v>
      </c>
      <c r="M17" s="8"/>
      <c r="N17" s="8"/>
      <c r="O17" s="8"/>
    </row>
    <row r="18" spans="2:18" x14ac:dyDescent="0.25">
      <c r="B18" t="s">
        <v>75</v>
      </c>
      <c r="C18" s="1">
        <f>20*LOG(C17)</f>
        <v>40</v>
      </c>
      <c r="D18" s="1">
        <f>20*LOG(D17)</f>
        <v>53.979400086720375</v>
      </c>
      <c r="E18" s="1">
        <f>20*LOG(E17)</f>
        <v>40</v>
      </c>
      <c r="F18" s="1">
        <f>20*LOG(F17)</f>
        <v>53.979400086720375</v>
      </c>
      <c r="G18" s="26"/>
      <c r="H18" s="26"/>
      <c r="M18" s="8"/>
    </row>
    <row r="19" spans="2:18" x14ac:dyDescent="0.25">
      <c r="G19" s="26"/>
      <c r="H19" s="26"/>
      <c r="M19" s="8"/>
    </row>
    <row r="20" spans="2:18" x14ac:dyDescent="0.25">
      <c r="M20" s="8"/>
    </row>
    <row r="21" spans="2:18" x14ac:dyDescent="0.25">
      <c r="B21" s="30" t="s">
        <v>52</v>
      </c>
      <c r="M21" s="8"/>
    </row>
    <row r="22" spans="2:18" x14ac:dyDescent="0.25">
      <c r="C22" s="8" t="s">
        <v>63</v>
      </c>
      <c r="D22" s="8" t="s">
        <v>64</v>
      </c>
      <c r="E22" s="8" t="s">
        <v>65</v>
      </c>
      <c r="H22" s="8" t="s">
        <v>84</v>
      </c>
      <c r="I22" s="8" t="s">
        <v>89</v>
      </c>
      <c r="J22" s="8"/>
      <c r="L22" s="8" t="s">
        <v>84</v>
      </c>
      <c r="M22" s="8" t="s">
        <v>90</v>
      </c>
      <c r="N22" s="8"/>
      <c r="P22" s="8" t="s">
        <v>84</v>
      </c>
      <c r="Q22" s="8" t="s">
        <v>91</v>
      </c>
      <c r="R22" s="8"/>
    </row>
    <row r="23" spans="2:18" x14ac:dyDescent="0.25">
      <c r="B23" t="s">
        <v>76</v>
      </c>
      <c r="C23" s="8">
        <v>480000</v>
      </c>
      <c r="D23" s="8">
        <v>480000</v>
      </c>
      <c r="E23" s="8">
        <v>480000</v>
      </c>
      <c r="H23" s="8">
        <f>H24/100</f>
        <v>1.0610329539459689E-2</v>
      </c>
      <c r="I23" s="11">
        <f>I24+40</f>
        <v>69.897000433601875</v>
      </c>
      <c r="J23" s="11">
        <f>-I23</f>
        <v>-69.897000433601875</v>
      </c>
      <c r="L23" s="8">
        <f>L24/100</f>
        <v>1.061032953945969E-2</v>
      </c>
      <c r="M23" s="11">
        <f>M24+40</f>
        <v>89.897000433601875</v>
      </c>
      <c r="N23" s="11">
        <f t="shared" ref="N23:N28" si="0">-M23</f>
        <v>-89.897000433601875</v>
      </c>
      <c r="P23" s="8">
        <f>P24/100</f>
        <v>1.5915494309189538E-3</v>
      </c>
      <c r="Q23" s="11">
        <f>Q24+40</f>
        <v>66.375175252488248</v>
      </c>
      <c r="R23" s="11">
        <f t="shared" ref="R23:R28" si="1">-Q23</f>
        <v>-66.375175252488248</v>
      </c>
    </row>
    <row r="24" spans="2:18" x14ac:dyDescent="0.25">
      <c r="B24" t="s">
        <v>77</v>
      </c>
      <c r="C24" s="9">
        <v>3200</v>
      </c>
      <c r="D24" s="9">
        <v>3200</v>
      </c>
      <c r="E24" s="9">
        <v>3200</v>
      </c>
      <c r="H24" s="27">
        <f>C31</f>
        <v>1.0610329539459689</v>
      </c>
      <c r="I24" s="28">
        <f>C34</f>
        <v>29.897000433601878</v>
      </c>
      <c r="J24" s="11">
        <f>-I24</f>
        <v>-29.897000433601878</v>
      </c>
      <c r="L24" s="8">
        <f>L25/100</f>
        <v>1.0610329539459691</v>
      </c>
      <c r="M24" s="11">
        <f>M25+40</f>
        <v>49.897000433601882</v>
      </c>
      <c r="N24" s="11">
        <f t="shared" si="0"/>
        <v>-49.897000433601882</v>
      </c>
      <c r="P24" s="8">
        <f>P25/100</f>
        <v>0.15915494309189537</v>
      </c>
      <c r="Q24" s="11">
        <f>Q25+40</f>
        <v>26.375175252488255</v>
      </c>
      <c r="R24" s="11">
        <f t="shared" si="1"/>
        <v>-26.375175252488255</v>
      </c>
    </row>
    <row r="25" spans="2:18" x14ac:dyDescent="0.25">
      <c r="B25" t="s">
        <v>78</v>
      </c>
      <c r="C25" s="9">
        <f>1/(1/C23+1/C24)</f>
        <v>3178.8079470198677</v>
      </c>
      <c r="D25" s="9">
        <f>1/(1/D23+1/D24)</f>
        <v>3178.8079470198677</v>
      </c>
      <c r="E25" s="9">
        <f>1/(1/E23+1/E24)</f>
        <v>3178.8079470198677</v>
      </c>
      <c r="H25" s="27">
        <f>C32</f>
        <v>15915.510224699759</v>
      </c>
      <c r="I25" s="11">
        <f>I24</f>
        <v>29.897000433601878</v>
      </c>
      <c r="J25" s="11">
        <f>-I25</f>
        <v>-29.897000433601878</v>
      </c>
      <c r="L25" s="27">
        <f>D31</f>
        <v>106.1032953945969</v>
      </c>
      <c r="M25" s="28">
        <f>D34</f>
        <v>9.89700043360188</v>
      </c>
      <c r="N25" s="11">
        <f t="shared" si="0"/>
        <v>-9.89700043360188</v>
      </c>
      <c r="P25" s="27">
        <f>E31</f>
        <v>15.915494309189537</v>
      </c>
      <c r="Q25" s="28">
        <f>E34</f>
        <v>-13.624824747511745</v>
      </c>
      <c r="R25" s="11">
        <f t="shared" si="1"/>
        <v>13.624824747511745</v>
      </c>
    </row>
    <row r="26" spans="2:18" x14ac:dyDescent="0.25">
      <c r="B26" t="s">
        <v>51</v>
      </c>
      <c r="C26" s="34">
        <f>C24/(C24+C23)</f>
        <v>6.6225165562913907E-3</v>
      </c>
      <c r="D26" s="34">
        <f>D24/(D24+D23)</f>
        <v>6.6225165562913907E-3</v>
      </c>
      <c r="E26" s="34">
        <f>E24/(E24+E23)</f>
        <v>6.6225165562913907E-3</v>
      </c>
      <c r="H26" s="8">
        <f>H25*100</f>
        <v>1591551.022469976</v>
      </c>
      <c r="I26" s="11">
        <f>I25-40</f>
        <v>-10.102999566398122</v>
      </c>
      <c r="J26" s="11">
        <f>-I26</f>
        <v>10.102999566398122</v>
      </c>
      <c r="L26" s="28">
        <f>D32</f>
        <v>15915.510224699759</v>
      </c>
      <c r="M26" s="11">
        <f>M25</f>
        <v>9.89700043360188</v>
      </c>
      <c r="N26" s="11">
        <f t="shared" si="0"/>
        <v>-9.89700043360188</v>
      </c>
      <c r="P26" s="28">
        <f>E32</f>
        <v>15915.494309189537</v>
      </c>
      <c r="Q26" s="11">
        <f>Q25</f>
        <v>-13.624824747511745</v>
      </c>
      <c r="R26" s="11">
        <f t="shared" si="1"/>
        <v>13.624824747511745</v>
      </c>
    </row>
    <row r="27" spans="2:18" x14ac:dyDescent="0.25">
      <c r="B27" t="s">
        <v>79</v>
      </c>
      <c r="C27" s="9">
        <v>6.6666600000000004E-13</v>
      </c>
      <c r="D27" s="9">
        <v>6.6666599999999998E-12</v>
      </c>
      <c r="E27" s="9">
        <v>1E-10</v>
      </c>
      <c r="H27" s="8"/>
      <c r="I27" s="8"/>
      <c r="J27" s="8"/>
      <c r="L27" s="8">
        <f>L26*100</f>
        <v>1591551.022469976</v>
      </c>
      <c r="M27" s="11">
        <f>M26-40</f>
        <v>-30.102999566398118</v>
      </c>
      <c r="N27" s="11">
        <f t="shared" si="0"/>
        <v>30.102999566398118</v>
      </c>
      <c r="P27" s="8">
        <f>P26*100</f>
        <v>1591549.4309189536</v>
      </c>
      <c r="Q27" s="11">
        <f>Q26-40</f>
        <v>-53.624824747511745</v>
      </c>
      <c r="R27" s="11">
        <f t="shared" si="1"/>
        <v>53.624824747511745</v>
      </c>
    </row>
    <row r="28" spans="2:18" x14ac:dyDescent="0.25">
      <c r="B28" t="s">
        <v>80</v>
      </c>
      <c r="C28" s="9">
        <v>1E-8</v>
      </c>
      <c r="D28" s="9">
        <v>1.0000000000000001E-9</v>
      </c>
      <c r="E28" s="9">
        <v>9.9999999999999995E-8</v>
      </c>
      <c r="L28" s="8">
        <f>L27*100</f>
        <v>159155102.24699759</v>
      </c>
      <c r="M28" s="11">
        <f>M27-40</f>
        <v>-70.102999566398125</v>
      </c>
      <c r="N28" s="11">
        <f t="shared" si="0"/>
        <v>70.102999566398125</v>
      </c>
      <c r="P28" s="8">
        <f>P27*100</f>
        <v>159154943.09189537</v>
      </c>
      <c r="Q28" s="11">
        <f>Q27-40</f>
        <v>-93.624824747511752</v>
      </c>
      <c r="R28" s="11">
        <f t="shared" si="1"/>
        <v>93.624824747511752</v>
      </c>
    </row>
    <row r="29" spans="2:18" x14ac:dyDescent="0.25">
      <c r="B29" t="s">
        <v>81</v>
      </c>
      <c r="C29" s="9">
        <v>15000000</v>
      </c>
      <c r="D29" s="9">
        <v>1500000</v>
      </c>
      <c r="E29" s="9">
        <v>100000</v>
      </c>
      <c r="L29" s="8"/>
      <c r="M29" s="8"/>
      <c r="N29" s="8"/>
    </row>
    <row r="30" spans="2:18" x14ac:dyDescent="0.25">
      <c r="C30" s="8"/>
      <c r="D30" s="8"/>
      <c r="E30" s="1"/>
    </row>
    <row r="31" spans="2:18" x14ac:dyDescent="0.25">
      <c r="B31" t="s">
        <v>82</v>
      </c>
      <c r="C31" s="1">
        <f>1/(2*PI()*C29*C28)</f>
        <v>1.0610329539459689</v>
      </c>
      <c r="D31" s="1">
        <f>1/(2*PI()*D29*D28)</f>
        <v>106.1032953945969</v>
      </c>
      <c r="E31" s="1">
        <f>1/(2*PI()*E29*E28)</f>
        <v>15.915494309189537</v>
      </c>
    </row>
    <row r="32" spans="2:18" x14ac:dyDescent="0.25">
      <c r="B32" t="s">
        <v>72</v>
      </c>
      <c r="C32" s="11">
        <f>1/(2*PI()*C29*C27)</f>
        <v>15915.510224699759</v>
      </c>
      <c r="D32" s="11">
        <f>1/(2*PI()*D29*D27)</f>
        <v>15915.510224699759</v>
      </c>
      <c r="E32" s="11">
        <f>1/(2*PI()*E29*E27)</f>
        <v>15915.494309189537</v>
      </c>
      <c r="P32" s="8"/>
    </row>
    <row r="33" spans="2:19" x14ac:dyDescent="0.25">
      <c r="B33" t="s">
        <v>83</v>
      </c>
      <c r="C33" s="1">
        <f>C29/C25*C26</f>
        <v>31.25</v>
      </c>
      <c r="D33" s="1">
        <f>D29/D25*D26</f>
        <v>3.125</v>
      </c>
      <c r="E33" s="1">
        <f>E29/E25*E26</f>
        <v>0.20833333333333331</v>
      </c>
      <c r="P33" s="8"/>
    </row>
    <row r="34" spans="2:19" x14ac:dyDescent="0.25">
      <c r="B34" t="s">
        <v>75</v>
      </c>
      <c r="C34" s="1">
        <f>20*LOG(C33)</f>
        <v>29.897000433601878</v>
      </c>
      <c r="D34" s="1">
        <f>20*LOG(D33)</f>
        <v>9.89700043360188</v>
      </c>
      <c r="E34" s="1">
        <f>20*LOG(E33)</f>
        <v>-13.624824747511745</v>
      </c>
      <c r="P34" s="8"/>
    </row>
    <row r="35" spans="2:19" x14ac:dyDescent="0.25">
      <c r="P35" s="8"/>
      <c r="Q35" s="8"/>
      <c r="R35" s="8"/>
      <c r="S35" s="8"/>
    </row>
    <row r="42" spans="2:19" x14ac:dyDescent="0.25">
      <c r="S42">
        <f>270/3</f>
        <v>90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43BEB-A645-498A-B952-4DE4DC670158}">
  <dimension ref="B2:Z36"/>
  <sheetViews>
    <sheetView workbookViewId="0">
      <selection activeCell="L25" sqref="L25"/>
    </sheetView>
  </sheetViews>
  <sheetFormatPr defaultRowHeight="15" x14ac:dyDescent="0.25"/>
  <cols>
    <col min="2" max="2" width="9.140625" style="8"/>
    <col min="3" max="3" width="8.5703125" style="8" bestFit="1" customWidth="1"/>
    <col min="4" max="4" width="9.140625" style="8"/>
  </cols>
  <sheetData>
    <row r="2" spans="2:26" x14ac:dyDescent="0.25">
      <c r="B2" s="8" t="s">
        <v>37</v>
      </c>
      <c r="C2" s="8">
        <v>550</v>
      </c>
      <c r="D2" s="8" t="s">
        <v>3</v>
      </c>
      <c r="F2" s="8" t="s">
        <v>8</v>
      </c>
      <c r="G2" s="8" t="s">
        <v>43</v>
      </c>
      <c r="H2" s="8" t="s">
        <v>44</v>
      </c>
      <c r="I2" s="8" t="s">
        <v>9</v>
      </c>
      <c r="K2" s="8"/>
      <c r="L2" s="8"/>
      <c r="M2" s="8"/>
      <c r="N2" s="8"/>
      <c r="Q2" s="8"/>
      <c r="R2" s="8"/>
      <c r="S2" s="8"/>
      <c r="T2" s="8"/>
      <c r="W2" s="8"/>
      <c r="X2" s="8"/>
      <c r="Y2" s="8"/>
      <c r="Z2" s="8"/>
    </row>
    <row r="3" spans="2:26" x14ac:dyDescent="0.25">
      <c r="B3" s="8" t="s">
        <v>38</v>
      </c>
      <c r="C3" s="8">
        <v>170</v>
      </c>
      <c r="D3" s="8" t="s">
        <v>3</v>
      </c>
      <c r="F3" s="10">
        <v>0</v>
      </c>
      <c r="G3" s="10">
        <f t="shared" ref="G3:G13" si="0">$C$11*F3/($C$11+F3)</f>
        <v>0</v>
      </c>
      <c r="H3" s="10">
        <f t="shared" ref="H3:H13" si="1">G3+$C$10</f>
        <v>2.2000000000000002</v>
      </c>
      <c r="I3" s="10">
        <f>$C$4/H3*($C$5+H3)</f>
        <v>547.95454545454538</v>
      </c>
      <c r="K3" s="8"/>
      <c r="L3" s="8"/>
      <c r="M3" s="8"/>
      <c r="Q3" s="8"/>
      <c r="R3" s="8"/>
      <c r="S3" s="8"/>
      <c r="W3" s="8"/>
      <c r="X3" s="8"/>
      <c r="Y3" s="8"/>
    </row>
    <row r="4" spans="2:26" x14ac:dyDescent="0.25">
      <c r="B4" s="8" t="s">
        <v>39</v>
      </c>
      <c r="C4" s="8">
        <v>2.5</v>
      </c>
      <c r="D4" s="8" t="s">
        <v>3</v>
      </c>
      <c r="F4" s="10">
        <v>0.5</v>
      </c>
      <c r="G4" s="10">
        <f t="shared" si="0"/>
        <v>0.49975012493753124</v>
      </c>
      <c r="H4" s="10">
        <f t="shared" si="1"/>
        <v>2.6997501249375313</v>
      </c>
      <c r="I4" s="10">
        <f t="shared" ref="I4:I13" si="2">$C$4/H4*($C$5+H4)</f>
        <v>446.98557994890967</v>
      </c>
      <c r="K4" s="8"/>
      <c r="L4" s="8"/>
      <c r="M4" s="8"/>
      <c r="Q4" s="8"/>
      <c r="R4" s="8"/>
      <c r="S4" s="8"/>
      <c r="W4" s="8"/>
      <c r="X4" s="8"/>
      <c r="Y4" s="8"/>
    </row>
    <row r="5" spans="2:26" x14ac:dyDescent="0.25">
      <c r="B5" s="8" t="s">
        <v>36</v>
      </c>
      <c r="C5" s="8">
        <v>480</v>
      </c>
      <c r="D5" s="8" t="s">
        <v>42</v>
      </c>
      <c r="F5" s="10">
        <v>1</v>
      </c>
      <c r="G5" s="10">
        <f t="shared" si="0"/>
        <v>0.99900099900099903</v>
      </c>
      <c r="H5" s="10">
        <f t="shared" si="1"/>
        <v>3.1990009990009991</v>
      </c>
      <c r="I5" s="10">
        <f t="shared" si="2"/>
        <v>377.61710698894512</v>
      </c>
      <c r="K5" s="8"/>
      <c r="L5" s="8"/>
      <c r="M5" s="8"/>
      <c r="Q5" s="8"/>
      <c r="R5" s="8"/>
      <c r="S5" s="8"/>
      <c r="W5" s="8"/>
      <c r="X5" s="8"/>
      <c r="Y5" s="8"/>
    </row>
    <row r="6" spans="2:26" x14ac:dyDescent="0.25">
      <c r="F6" s="10">
        <v>1.5</v>
      </c>
      <c r="G6" s="10">
        <f t="shared" si="0"/>
        <v>1.4977533699450825</v>
      </c>
      <c r="H6" s="10">
        <f t="shared" si="1"/>
        <v>3.6977533699450826</v>
      </c>
      <c r="I6" s="10">
        <f t="shared" si="2"/>
        <v>327.02137282963838</v>
      </c>
      <c r="K6" s="8"/>
      <c r="L6" s="8"/>
      <c r="M6" s="8"/>
      <c r="Q6" s="8"/>
      <c r="R6" s="8"/>
      <c r="S6" s="8"/>
      <c r="W6" s="8"/>
      <c r="X6" s="8"/>
      <c r="Y6" s="8"/>
    </row>
    <row r="7" spans="2:26" x14ac:dyDescent="0.25">
      <c r="B7" s="8" t="s">
        <v>41</v>
      </c>
      <c r="C7" s="10">
        <f>C4/((C2-C4)/C5)</f>
        <v>2.1917808219178081</v>
      </c>
      <c r="D7" s="8" t="s">
        <v>42</v>
      </c>
      <c r="F7" s="10">
        <v>2</v>
      </c>
      <c r="G7" s="10">
        <f t="shared" si="0"/>
        <v>1.996007984031936</v>
      </c>
      <c r="H7" s="10">
        <f t="shared" si="1"/>
        <v>4.1960079840319366</v>
      </c>
      <c r="I7" s="10">
        <f t="shared" si="2"/>
        <v>288.48610978974403</v>
      </c>
      <c r="K7" s="8"/>
      <c r="L7" s="8"/>
      <c r="M7" s="8"/>
      <c r="Q7" s="8"/>
      <c r="R7" s="8"/>
      <c r="S7" s="8"/>
      <c r="W7" s="8"/>
      <c r="X7" s="8"/>
      <c r="Y7" s="8"/>
    </row>
    <row r="8" spans="2:26" x14ac:dyDescent="0.25">
      <c r="B8" s="8" t="s">
        <v>40</v>
      </c>
      <c r="C8" s="10">
        <f>C4/((C3-C4)/C5)</f>
        <v>7.1641791044776122</v>
      </c>
      <c r="D8" s="8" t="s">
        <v>42</v>
      </c>
      <c r="F8" s="10">
        <v>2.5</v>
      </c>
      <c r="G8" s="10">
        <f t="shared" si="0"/>
        <v>2.4937655860349128</v>
      </c>
      <c r="H8" s="10">
        <f t="shared" si="1"/>
        <v>4.693765586034913</v>
      </c>
      <c r="I8" s="10">
        <f t="shared" si="2"/>
        <v>258.15827223461906</v>
      </c>
      <c r="K8" s="8"/>
      <c r="L8" s="8"/>
      <c r="M8" s="8"/>
      <c r="Q8" s="8"/>
      <c r="R8" s="8"/>
      <c r="S8" s="8"/>
      <c r="W8" s="8"/>
      <c r="X8" s="8"/>
      <c r="Y8" s="8"/>
    </row>
    <row r="9" spans="2:26" x14ac:dyDescent="0.25">
      <c r="B9" s="8" t="s">
        <v>45</v>
      </c>
      <c r="C9" s="10">
        <f>C8-C7</f>
        <v>4.9723982825598041</v>
      </c>
      <c r="D9" s="8" t="s">
        <v>42</v>
      </c>
      <c r="F9" s="10">
        <v>3</v>
      </c>
      <c r="G9" s="10">
        <f t="shared" si="0"/>
        <v>2.9910269192422732</v>
      </c>
      <c r="H9" s="10">
        <f t="shared" si="1"/>
        <v>5.1910269192422733</v>
      </c>
      <c r="I9" s="10">
        <f t="shared" si="2"/>
        <v>233.66813275458074</v>
      </c>
      <c r="K9" s="8"/>
      <c r="L9" s="8"/>
      <c r="M9" s="8"/>
      <c r="Q9" s="8"/>
      <c r="R9" s="8"/>
      <c r="S9" s="8"/>
      <c r="W9" s="8"/>
      <c r="X9" s="8"/>
      <c r="Y9" s="8"/>
    </row>
    <row r="10" spans="2:26" x14ac:dyDescent="0.25">
      <c r="B10" s="8" t="s">
        <v>46</v>
      </c>
      <c r="C10" s="8">
        <v>2.2000000000000002</v>
      </c>
      <c r="D10" s="8" t="s">
        <v>42</v>
      </c>
      <c r="F10" s="10">
        <v>3.5</v>
      </c>
      <c r="G10" s="10">
        <f t="shared" si="0"/>
        <v>3.4877927254608867</v>
      </c>
      <c r="H10" s="10">
        <f t="shared" si="1"/>
        <v>5.6877927254608869</v>
      </c>
      <c r="I10" s="10">
        <f t="shared" si="2"/>
        <v>213.47815232054944</v>
      </c>
      <c r="K10" s="8"/>
      <c r="L10" s="8"/>
      <c r="M10" s="8"/>
      <c r="Q10" s="8"/>
      <c r="R10" s="8"/>
      <c r="S10" s="8"/>
      <c r="W10" s="8"/>
      <c r="X10" s="8"/>
      <c r="Y10" s="8"/>
    </row>
    <row r="11" spans="2:26" x14ac:dyDescent="0.25">
      <c r="B11" s="8" t="s">
        <v>47</v>
      </c>
      <c r="C11" s="11">
        <v>1000</v>
      </c>
      <c r="D11" s="8" t="s">
        <v>42</v>
      </c>
      <c r="F11" s="10">
        <v>4</v>
      </c>
      <c r="G11" s="10">
        <f t="shared" si="0"/>
        <v>3.9840637450199203</v>
      </c>
      <c r="H11" s="10">
        <f t="shared" si="1"/>
        <v>6.1840637450199205</v>
      </c>
      <c r="I11" s="10">
        <f t="shared" si="2"/>
        <v>196.54715887127944</v>
      </c>
      <c r="K11" s="8"/>
      <c r="L11" s="8"/>
      <c r="M11" s="8"/>
      <c r="Q11" s="8"/>
      <c r="R11" s="8"/>
      <c r="S11" s="8"/>
      <c r="W11" s="8"/>
      <c r="X11" s="8"/>
      <c r="Y11" s="8"/>
    </row>
    <row r="12" spans="2:26" x14ac:dyDescent="0.25">
      <c r="F12" s="10">
        <v>4.5</v>
      </c>
      <c r="G12" s="10">
        <f t="shared" si="0"/>
        <v>4.4798407167745147</v>
      </c>
      <c r="H12" s="10">
        <f t="shared" si="1"/>
        <v>6.6798407167745149</v>
      </c>
      <c r="I12" s="10">
        <f t="shared" si="2"/>
        <v>182.145002160986</v>
      </c>
      <c r="K12" s="8"/>
      <c r="L12" s="8"/>
      <c r="M12" s="8"/>
      <c r="Q12" s="8"/>
      <c r="R12" s="8"/>
      <c r="S12" s="8"/>
      <c r="W12" s="8"/>
      <c r="X12" s="8"/>
      <c r="Y12" s="8"/>
    </row>
    <row r="13" spans="2:26" x14ac:dyDescent="0.25">
      <c r="F13" s="10">
        <v>5</v>
      </c>
      <c r="G13" s="10">
        <f t="shared" si="0"/>
        <v>4.9751243781094523</v>
      </c>
      <c r="H13" s="10">
        <f t="shared" si="1"/>
        <v>7.1751243781094525</v>
      </c>
      <c r="I13" s="10">
        <f t="shared" si="2"/>
        <v>169.7444875884066</v>
      </c>
      <c r="K13" s="8"/>
      <c r="L13" s="8"/>
      <c r="M13" s="8"/>
      <c r="Q13" s="8"/>
      <c r="R13" s="8"/>
      <c r="S13" s="8"/>
      <c r="W13" s="8"/>
      <c r="X13" s="8"/>
      <c r="Y13" s="8"/>
    </row>
    <row r="19" spans="6:14" x14ac:dyDescent="0.25">
      <c r="F19" t="s">
        <v>56</v>
      </c>
    </row>
    <row r="21" spans="6:14" x14ac:dyDescent="0.25">
      <c r="F21" t="s">
        <v>57</v>
      </c>
    </row>
    <row r="22" spans="6:14" x14ac:dyDescent="0.25">
      <c r="L22" s="8"/>
      <c r="M22" s="8"/>
      <c r="N22" s="8"/>
    </row>
    <row r="23" spans="6:14" x14ac:dyDescent="0.25">
      <c r="F23" t="s">
        <v>58</v>
      </c>
      <c r="L23" s="8"/>
      <c r="M23" s="8"/>
      <c r="N23" s="8"/>
    </row>
    <row r="24" spans="6:14" x14ac:dyDescent="0.25">
      <c r="F24" t="s">
        <v>59</v>
      </c>
    </row>
    <row r="25" spans="6:14" x14ac:dyDescent="0.25">
      <c r="F25" t="s">
        <v>60</v>
      </c>
    </row>
    <row r="26" spans="6:14" x14ac:dyDescent="0.25">
      <c r="F26" t="s">
        <v>61</v>
      </c>
    </row>
    <row r="27" spans="6:14" x14ac:dyDescent="0.25">
      <c r="F27" t="s">
        <v>62</v>
      </c>
    </row>
    <row r="36" spans="12:14" x14ac:dyDescent="0.25">
      <c r="L36" s="8"/>
      <c r="M36" s="8"/>
      <c r="N36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Operating_characteristics</vt:lpstr>
      <vt:lpstr>compensation</vt:lpstr>
      <vt:lpstr>Sheet3</vt:lpstr>
      <vt:lpstr>Acs</vt:lpstr>
      <vt:lpstr>Cout</vt:lpstr>
      <vt:lpstr>Dmax</vt:lpstr>
      <vt:lpstr>eff</vt:lpstr>
      <vt:lpstr>fs</vt:lpstr>
      <vt:lpstr>Lp</vt:lpstr>
      <vt:lpstr>M</vt:lpstr>
      <vt:lpstr>n</vt:lpstr>
      <vt:lpstr>ninv</vt:lpstr>
      <vt:lpstr>Rcs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Lopasso Rodrigues</dc:creator>
  <cp:lastModifiedBy>Felipe Lopasso Rodrigues</cp:lastModifiedBy>
  <dcterms:created xsi:type="dcterms:W3CDTF">2026-02-22T09:56:10Z</dcterms:created>
  <dcterms:modified xsi:type="dcterms:W3CDTF">2026-03-15T08:31:54Z</dcterms:modified>
</cp:coreProperties>
</file>