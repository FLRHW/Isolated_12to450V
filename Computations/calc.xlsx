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11.png" ContentType="image/png"/>
  <Override PartName="/xl/media/image8.png" ContentType="image/png"/>
  <Override PartName="/xl/media/image12.png" ContentType="image/png"/>
  <Override PartName="/xl/media/image9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Operating_characteristics" sheetId="1" state="visible" r:id="rId3"/>
    <sheet name="compensation" sheetId="2" state="visible" r:id="rId4"/>
    <sheet name="Transformer" sheetId="3" state="visible" r:id="rId5"/>
    <sheet name="trafo" sheetId="4" state="visible" r:id="rId6"/>
    <sheet name="Sheet3" sheetId="5" state="visible" r:id="rId7"/>
  </sheets>
  <definedNames>
    <definedName function="false" hidden="true" localSheetId="0" name="_xlnm._FilterDatabase" vbProcedure="false">Operating_characteristics!$E$3:$Z$178</definedName>
    <definedName function="false" hidden="false" name="Acs" vbProcedure="false">Operating_characteristics!$C$26</definedName>
    <definedName function="false" hidden="false" name="Cout" vbProcedure="false">Operating_characteristics!$C$20</definedName>
    <definedName function="false" hidden="false" name="C_ESR" vbProcedure="false">operating_characteristics!#ref!</definedName>
    <definedName function="false" hidden="false" name="Dmax" vbProcedure="false">Operating_characteristics!$C$19</definedName>
    <definedName function="false" hidden="false" name="eff" vbProcedure="false">Operating_characteristics!$C$21</definedName>
    <definedName function="false" hidden="false" name="fs" vbProcedure="false">Operating_characteristics!$C$18</definedName>
    <definedName function="false" hidden="false" name="Lp" vbProcedure="false">Operating_characteristics!$C$4</definedName>
    <definedName function="false" hidden="false" name="M" vbProcedure="false">Operating_characteristics!$C$28</definedName>
    <definedName function="false" hidden="false" name="n" vbProcedure="false">Operating_characteristics!$C$10</definedName>
    <definedName function="false" hidden="false" name="ninv" vbProcedure="false">Operating_characteristics!$C$11</definedName>
    <definedName function="false" hidden="false" name="Rcs" vbProcedure="false">Operating_characteristics!$C$22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3" authorId="0">
      <text>
        <r>
          <rPr>
            <sz val="10"/>
            <rFont val="Arial"/>
            <family val="2"/>
          </rPr>
          <t xml:space="preserve">Felipe:
</t>
        </r>
        <r>
          <rPr>
            <sz val="9"/>
            <color rgb="FF000000"/>
            <rFont val="Tahoma"/>
            <family val="2"/>
            <charset val="1"/>
          </rPr>
          <t xml:space="preserve">n must be same or larger than this</t>
        </r>
      </text>
    </comment>
    <comment ref="U3" authorId="0">
      <text>
        <r>
          <rPr>
            <sz val="10"/>
            <rFont val="Arial"/>
            <family val="2"/>
          </rPr>
          <t xml:space="preserve">Felipe:
</t>
        </r>
        <r>
          <rPr>
            <sz val="9"/>
            <color rgb="FF000000"/>
            <rFont val="Tahoma"/>
            <family val="2"/>
            <charset val="1"/>
          </rPr>
          <t xml:space="preserve">Alternate formula: 2*Iout_avg/(n*Il_pk)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Felipe:
</t>
        </r>
        <r>
          <rPr>
            <sz val="9"/>
            <color rgb="FF000000"/>
            <rFont val="Tahoma"/>
            <family val="2"/>
            <charset val="1"/>
          </rPr>
          <t xml:space="preserve">Applied AC peak voltage (sine)</t>
        </r>
      </text>
    </comment>
    <comment ref="B10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Felipe:
</t>
        </r>
        <r>
          <rPr>
            <sz val="9"/>
            <color rgb="FF000000"/>
            <rFont val="Tahoma"/>
            <family val="2"/>
            <charset val="1"/>
          </rPr>
          <t xml:space="preserve">Measured AC peak voltage (sine)</t>
        </r>
      </text>
    </comment>
    <comment ref="B38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Felipe:
</t>
        </r>
      </text>
    </comment>
    <comment ref="C38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Felipe:
</t>
        </r>
        <r>
          <rPr>
            <sz val="9"/>
            <color rgb="FF000000"/>
            <rFont val="Tahoma"/>
            <family val="2"/>
            <charset val="1"/>
          </rPr>
          <t xml:space="preserve">Capacitor added to the circuit (measured value)</t>
        </r>
      </text>
    </comment>
    <comment ref="D38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Felipe:
</t>
        </r>
        <r>
          <rPr>
            <sz val="9"/>
            <color rgb="FF000000"/>
            <rFont val="Tahoma"/>
            <family val="2"/>
            <charset val="1"/>
          </rPr>
          <t xml:space="preserve">Ressonance frequency measured after application of stimuli</t>
        </r>
      </text>
    </comment>
    <comment ref="E38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Felipe:
</t>
        </r>
        <r>
          <rPr>
            <sz val="9"/>
            <color rgb="FF000000"/>
            <rFont val="Tahoma"/>
            <family val="2"/>
            <charset val="1"/>
          </rPr>
          <t xml:space="preserve">Calculated inductance</t>
        </r>
      </text>
    </comment>
  </commentList>
</comments>
</file>

<file path=xl/sharedStrings.xml><?xml version="1.0" encoding="utf-8"?>
<sst xmlns="http://schemas.openxmlformats.org/spreadsheetml/2006/main" count="163" uniqueCount="132">
  <si>
    <t xml:space="preserve">Coupled inductor - measurements</t>
  </si>
  <si>
    <t xml:space="preserve">ID</t>
  </si>
  <si>
    <t xml:space="preserve">Vin [V]</t>
  </si>
  <si>
    <t xml:space="preserve">Pout tgt [W]</t>
  </si>
  <si>
    <t xml:space="preserve">Pout [W]</t>
  </si>
  <si>
    <t xml:space="preserve">Vout [V]</t>
  </si>
  <si>
    <t xml:space="preserve">Rout [Ω]</t>
  </si>
  <si>
    <t xml:space="preserve">Pin [W]</t>
  </si>
  <si>
    <t xml:space="preserve">Lp(max) [H]</t>
  </si>
  <si>
    <t xml:space="preserve">D</t>
  </si>
  <si>
    <t xml:space="preserve">Vin*D/(Vout*(1-D))</t>
  </si>
  <si>
    <t xml:space="preserve">Il_pk [A]</t>
  </si>
  <si>
    <t xml:space="preserve">Iin_avg [A]</t>
  </si>
  <si>
    <t xml:space="preserve">Iin_rms [A]</t>
  </si>
  <si>
    <t xml:space="preserve">Iout_avg [A]</t>
  </si>
  <si>
    <t xml:space="preserve">Iout_rms [A]</t>
  </si>
  <si>
    <t xml:space="preserve">El_pk
[J]</t>
  </si>
  <si>
    <t xml:space="preserve">D'</t>
  </si>
  <si>
    <t xml:space="preserve">Tch
[s]</t>
  </si>
  <si>
    <t xml:space="preserve">Δvout
[V]</t>
  </si>
  <si>
    <t xml:space="preserve">Lp [H]</t>
  </si>
  <si>
    <t xml:space="preserve">Ls [H]</t>
  </si>
  <si>
    <t xml:space="preserve">n (L)</t>
  </si>
  <si>
    <t xml:space="preserve">1/n (L)</t>
  </si>
  <si>
    <t xml:space="preserve">n (V)</t>
  </si>
  <si>
    <t xml:space="preserve">1/n (V)</t>
  </si>
  <si>
    <t xml:space="preserve">n (avg)</t>
  </si>
  <si>
    <t xml:space="preserve">1/n (avg)</t>
  </si>
  <si>
    <t xml:space="preserve">Design parameters</t>
  </si>
  <si>
    <t xml:space="preserve">fs [Hz]</t>
  </si>
  <si>
    <t xml:space="preserve">Dmax</t>
  </si>
  <si>
    <t xml:space="preserve">Cout [F]</t>
  </si>
  <si>
    <t xml:space="preserve">eff</t>
  </si>
  <si>
    <t xml:space="preserve">cs [Ω]</t>
  </si>
  <si>
    <t xml:space="preserve">Jack's method</t>
  </si>
  <si>
    <t xml:space="preserve">https://www.youtube.com/watch?v=2doS4y9KsIM</t>
  </si>
  <si>
    <t xml:space="preserve">DYI bode100</t>
  </si>
  <si>
    <t xml:space="preserve">https://www.youtube.com/watch?v=sqE7_HFV6FA</t>
  </si>
  <si>
    <t xml:space="preserve">Plant</t>
  </si>
  <si>
    <t xml:space="preserve">Co [F]</t>
  </si>
  <si>
    <t xml:space="preserve">F [Hz]</t>
  </si>
  <si>
    <t xml:space="preserve">100Vx70W</t>
  </si>
  <si>
    <t xml:space="preserve">500Vx5W</t>
  </si>
  <si>
    <t xml:space="preserve">100Vx5W</t>
  </si>
  <si>
    <t xml:space="preserve">500Vx70W</t>
  </si>
  <si>
    <t xml:space="preserve">ESR [Ω]</t>
  </si>
  <si>
    <t xml:space="preserve">Vo [V]</t>
  </si>
  <si>
    <t xml:space="preserve">Po [W]</t>
  </si>
  <si>
    <t xml:space="preserve">Rl [Ω]</t>
  </si>
  <si>
    <t xml:space="preserve">Iout [A]</t>
  </si>
  <si>
    <t xml:space="preserve">Fp [Hz]</t>
  </si>
  <si>
    <t xml:space="preserve">Fz [Hz]</t>
  </si>
  <si>
    <t xml:space="preserve">G (-]</t>
  </si>
  <si>
    <t xml:space="preserve">G [dB]</t>
  </si>
  <si>
    <t xml:space="preserve">Compensation</t>
  </si>
  <si>
    <t xml:space="preserve">#1</t>
  </si>
  <si>
    <t xml:space="preserve">#2</t>
  </si>
  <si>
    <t xml:space="preserve">#3</t>
  </si>
  <si>
    <t xml:space="preserve">Comp #1</t>
  </si>
  <si>
    <t xml:space="preserve">Conp #2</t>
  </si>
  <si>
    <t xml:space="preserve">Comp #3</t>
  </si>
  <si>
    <t xml:space="preserve">Ru [Ω]</t>
  </si>
  <si>
    <t xml:space="preserve">Rd [Ω]</t>
  </si>
  <si>
    <t xml:space="preserve">Ra [Ω]</t>
  </si>
  <si>
    <t xml:space="preserve">Scale</t>
  </si>
  <si>
    <t xml:space="preserve">Crol [F]</t>
  </si>
  <si>
    <t xml:space="preserve">Cint [F]</t>
  </si>
  <si>
    <t xml:space="preserve">Rint [Ω]</t>
  </si>
  <si>
    <t xml:space="preserve">Fc [Hz]</t>
  </si>
  <si>
    <t xml:space="preserve">G [-]</t>
  </si>
  <si>
    <t xml:space="preserve">Winding</t>
  </si>
  <si>
    <t xml:space="preserve">Primary</t>
  </si>
  <si>
    <t xml:space="preserve">Secondary</t>
  </si>
  <si>
    <t xml:space="preserve">Applied current [A]</t>
  </si>
  <si>
    <t xml:space="preserve">Measured drop [mV]</t>
  </si>
  <si>
    <t xml:space="preserve">Calculated resistance [mΩ]</t>
  </si>
  <si>
    <t xml:space="preserve">Frequency [kHz]</t>
  </si>
  <si>
    <t xml:space="preserve">Primary [V]</t>
  </si>
  <si>
    <t xml:space="preserve">Secondary [V]</t>
  </si>
  <si>
    <t xml:space="preserve">Turns ratio</t>
  </si>
  <si>
    <t xml:space="preserve">RLC ressonance (R in series):</t>
  </si>
  <si>
    <t xml:space="preserve">Rs [mΩ]</t>
  </si>
  <si>
    <t xml:space="preserve">C [µF]</t>
  </si>
  <si>
    <t xml:space="preserve">F [kHz]</t>
  </si>
  <si>
    <t xml:space="preserve">L [µH]</t>
  </si>
  <si>
    <t xml:space="preserve">Lavg [µH]</t>
  </si>
  <si>
    <t xml:space="preserve">Lratio</t>
  </si>
  <si>
    <t xml:space="preserve">Turns ratio from Lratio</t>
  </si>
  <si>
    <t xml:space="preserve">Pri</t>
  </si>
  <si>
    <t xml:space="preserve">Sec</t>
  </si>
  <si>
    <t xml:space="preserve">R(Ω)</t>
  </si>
  <si>
    <t xml:space="preserve">R(mΩ)</t>
  </si>
  <si>
    <t xml:space="preserve">RP</t>
  </si>
  <si>
    <t xml:space="preserve">RS</t>
  </si>
  <si>
    <t xml:space="preserve">7.6 mV @ 1.02 A</t>
  </si>
  <si>
    <t xml:space="preserve">18.9 mV @ 2.527 A</t>
  </si>
  <si>
    <t xml:space="preserve">475 mV @ 1.02 A</t>
  </si>
  <si>
    <t xml:space="preserve">C(F)</t>
  </si>
  <si>
    <t xml:space="preserve">F(Hz)</t>
  </si>
  <si>
    <t xml:space="preserve">L(H)</t>
  </si>
  <si>
    <t xml:space="preserve">Rs(Ω)</t>
  </si>
  <si>
    <t xml:space="preserve">C(uF)</t>
  </si>
  <si>
    <t xml:space="preserve">F(kHz)</t>
  </si>
  <si>
    <t xml:space="preserve">L(uH)</t>
  </si>
  <si>
    <t xml:space="preserve">Lavg(uH)</t>
  </si>
  <si>
    <t xml:space="preserve">Nratio</t>
  </si>
  <si>
    <t xml:space="preserve">Freq (kHz)</t>
  </si>
  <si>
    <t xml:space="preserve">Vpri (V)</t>
  </si>
  <si>
    <t xml:space="preserve">Vsec (V)</t>
  </si>
  <si>
    <t xml:space="preserve">Ratio</t>
  </si>
  <si>
    <t xml:space="preserve">Vmax</t>
  </si>
  <si>
    <t xml:space="preserve">V</t>
  </si>
  <si>
    <t xml:space="preserve">rpot</t>
  </si>
  <si>
    <t xml:space="preserve">rpres</t>
  </si>
  <si>
    <t xml:space="preserve">rdres</t>
  </si>
  <si>
    <t xml:space="preserve">vout</t>
  </si>
  <si>
    <t xml:space="preserve">Vmin</t>
  </si>
  <si>
    <t xml:space="preserve">Vref</t>
  </si>
  <si>
    <t xml:space="preserve">Rup</t>
  </si>
  <si>
    <t xml:space="preserve">kΩ</t>
  </si>
  <si>
    <t xml:space="preserve">Rd_vmax</t>
  </si>
  <si>
    <t xml:space="preserve">Rd_vmin</t>
  </si>
  <si>
    <t xml:space="preserve">Diff</t>
  </si>
  <si>
    <t xml:space="preserve">Rd_s</t>
  </si>
  <si>
    <t xml:space="preserve">Rd_par</t>
  </si>
  <si>
    <t xml:space="preserve">vout=Idiv*(Rdivh+Rdivl)</t>
  </si>
  <si>
    <t xml:space="preserve">Idiv=Vref/Rdivl</t>
  </si>
  <si>
    <t xml:space="preserve">vout=(Vref/Rdivl)*(Rdivh+Rdivl)</t>
  </si>
  <si>
    <t xml:space="preserve">vout*Rdivl=Vref*Rdivh+Vref*Rdivl</t>
  </si>
  <si>
    <t xml:space="preserve">vout*Rdivl-Vref*Rdivl=Vref*Rdivh</t>
  </si>
  <si>
    <t xml:space="preserve">(vout-Vref)*Rdivl=Vref*Rdivh</t>
  </si>
  <si>
    <t xml:space="preserve">Rdivl=Vref*Rdivh/(vout-Vref)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</si>
</sst>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E+00"/>
    <numFmt numFmtId="167" formatCode="0.0"/>
    <numFmt numFmtId="168" formatCode="0"/>
    <numFmt numFmtId="169" formatCode="0.000"/>
    <numFmt numFmtId="170" formatCode="0.0E+00"/>
    <numFmt numFmtId="171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b val="true"/>
      <sz val="9"/>
      <color rgb="FF000000"/>
      <name val="Tahoma"/>
      <family val="2"/>
      <charset val="1"/>
    </font>
    <font>
      <b val="true"/>
      <sz val="10"/>
      <color rgb="FF595959"/>
      <name val="Calibri"/>
      <family val="2"/>
    </font>
    <font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"/>
        <bgColor rgb="FFFBE5D6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DC17B"/>
          <bgColor rgb="FF000000"/>
        </patternFill>
      </fill>
    </dxf>
    <dxf>
      <fill>
        <patternFill patternType="solid">
          <fgColor rgb="FF74C37C"/>
          <bgColor rgb="FF000000"/>
        </patternFill>
      </fill>
    </dxf>
    <dxf>
      <fill>
        <patternFill patternType="solid">
          <fgColor rgb="FF82C77C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ACD37F"/>
          <bgColor rgb="FF000000"/>
        </patternFill>
      </fill>
    </dxf>
    <dxf>
      <fill>
        <patternFill patternType="solid">
          <fgColor rgb="FFB9D67F"/>
          <bgColor rgb="FF000000"/>
        </patternFill>
      </fill>
    </dxf>
    <dxf>
      <fill>
        <patternFill patternType="solid">
          <fgColor rgb="FFBAD780"/>
          <bgColor rgb="FF000000"/>
        </patternFill>
      </fill>
    </dxf>
    <dxf>
      <fill>
        <patternFill patternType="solid">
          <fgColor rgb="FFC2D980"/>
          <bgColor rgb="FF000000"/>
        </patternFill>
      </fill>
    </dxf>
    <dxf>
      <fill>
        <patternFill patternType="solid">
          <fgColor rgb="FFC8DB80"/>
          <bgColor rgb="FF000000"/>
        </patternFill>
      </fill>
    </dxf>
    <dxf>
      <fill>
        <patternFill patternType="solid">
          <fgColor rgb="FFD0DD81"/>
          <bgColor rgb="FF000000"/>
        </patternFill>
      </fill>
    </dxf>
    <dxf>
      <fill>
        <patternFill patternType="solid">
          <fgColor rgb="FFD4DE81"/>
          <bgColor rgb="FF000000"/>
        </patternFill>
      </fill>
    </dxf>
    <dxf>
      <fill>
        <patternFill patternType="solid">
          <fgColor rgb="FFD6DF81"/>
          <bgColor rgb="FF000000"/>
        </patternFill>
      </fill>
    </dxf>
    <dxf>
      <fill>
        <patternFill patternType="solid">
          <fgColor rgb="FFDCE081"/>
          <bgColor rgb="FF000000"/>
        </patternFill>
      </fill>
    </dxf>
    <dxf>
      <fill>
        <patternFill patternType="solid">
          <fgColor rgb="FFE7E482"/>
          <bgColor rgb="FF000000"/>
        </patternFill>
      </fill>
    </dxf>
    <dxf>
      <fill>
        <patternFill patternType="solid">
          <fgColor rgb="FFEBE582"/>
          <bgColor rgb="FF000000"/>
        </patternFill>
      </fill>
    </dxf>
    <dxf>
      <fill>
        <patternFill patternType="solid">
          <fgColor rgb="FFF2E783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6A6C"/>
          <bgColor rgb="FF000000"/>
        </patternFill>
      </fill>
    </dxf>
    <dxf>
      <fill>
        <patternFill patternType="solid">
          <fgColor rgb="FFF96E6C"/>
          <bgColor rgb="FF000000"/>
        </patternFill>
      </fill>
    </dxf>
    <dxf>
      <fill>
        <patternFill patternType="solid">
          <fgColor rgb="FFFA7D6F"/>
          <bgColor rgb="FF000000"/>
        </patternFill>
      </fill>
    </dxf>
    <dxf>
      <fill>
        <patternFill patternType="solid">
          <fgColor rgb="FFFA8B72"/>
          <bgColor rgb="FF000000"/>
        </patternFill>
      </fill>
    </dxf>
    <dxf>
      <fill>
        <patternFill patternType="solid">
          <fgColor rgb="FFFB9874"/>
          <bgColor rgb="FF000000"/>
        </patternFill>
      </fill>
    </dxf>
    <dxf>
      <fill>
        <patternFill patternType="solid">
          <fgColor rgb="FFFB9F76"/>
          <bgColor rgb="FF000000"/>
        </patternFill>
      </fill>
    </dxf>
    <dxf>
      <fill>
        <patternFill patternType="solid">
          <fgColor rgb="FFFBA176"/>
          <bgColor rgb="FF000000"/>
        </patternFill>
      </fill>
    </dxf>
    <dxf>
      <fill>
        <patternFill patternType="solid">
          <fgColor rgb="FFFBE983"/>
          <bgColor rgb="FF000000"/>
        </patternFill>
      </fill>
    </dxf>
    <dxf>
      <fill>
        <patternFill patternType="solid">
          <fgColor rgb="FFFCAC78"/>
          <bgColor rgb="FF000000"/>
        </patternFill>
      </fill>
    </dxf>
    <dxf>
      <fill>
        <patternFill patternType="solid">
          <fgColor rgb="FFFCAD78"/>
          <bgColor rgb="FF000000"/>
        </patternFill>
      </fill>
    </dxf>
    <dxf>
      <fill>
        <patternFill patternType="solid">
          <fgColor rgb="FFFDC17C"/>
          <bgColor rgb="FF000000"/>
        </patternFill>
      </fill>
    </dxf>
    <dxf>
      <fill>
        <patternFill patternType="solid">
          <fgColor rgb="FFFDC27C"/>
          <bgColor rgb="FF000000"/>
        </patternFill>
      </fill>
    </dxf>
    <dxf>
      <fill>
        <patternFill patternType="solid">
          <fgColor rgb="FFFDC27D"/>
          <bgColor rgb="FF000000"/>
        </patternFill>
      </fill>
    </dxf>
    <dxf>
      <fill>
        <patternFill patternType="solid">
          <fgColor rgb="FFFECC7E"/>
          <bgColor rgb="FF000000"/>
        </patternFill>
      </fill>
    </dxf>
    <dxf>
      <fill>
        <patternFill patternType="solid">
          <fgColor rgb="FFFED280"/>
          <bgColor rgb="FF000000"/>
        </patternFill>
      </fill>
    </dxf>
    <dxf>
      <fill>
        <patternFill patternType="solid">
          <fgColor rgb="FFFFDA81"/>
          <bgColor rgb="FF000000"/>
        </patternFill>
      </fill>
    </dxf>
    <dxf>
      <fill>
        <patternFill patternType="solid">
          <fgColor rgb="FFFFDB81"/>
          <bgColor rgb="FF000000"/>
        </patternFill>
      </fill>
    </dxf>
    <dxf>
      <fill>
        <patternFill patternType="solid">
          <fgColor rgb="FFFFDE82"/>
          <bgColor rgb="FF000000"/>
        </patternFill>
      </fill>
    </dxf>
    <dxf>
      <fill>
        <patternFill patternType="solid">
          <fgColor rgb="FFFFE483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F97D7F"/>
          <bgColor rgb="FF000000"/>
        </patternFill>
      </fill>
    </dxf>
    <dxf>
      <fill>
        <patternFill patternType="solid">
          <fgColor rgb="FFF98082"/>
          <bgColor rgb="FF000000"/>
        </patternFill>
      </fill>
    </dxf>
    <dxf>
      <fill>
        <patternFill patternType="solid">
          <fgColor rgb="FFF98C8E"/>
          <bgColor rgb="FF000000"/>
        </patternFill>
      </fill>
    </dxf>
    <dxf>
      <fill>
        <patternFill patternType="solid">
          <fgColor rgb="FFFA8F92"/>
          <bgColor rgb="FF000000"/>
        </patternFill>
      </fill>
    </dxf>
    <dxf>
      <fill>
        <patternFill patternType="solid">
          <fgColor rgb="FFFA9194"/>
          <bgColor rgb="FF000000"/>
        </patternFill>
      </fill>
    </dxf>
    <dxf>
      <fill>
        <patternFill patternType="solid">
          <fgColor rgb="FFFA9597"/>
          <bgColor rgb="FF000000"/>
        </patternFill>
      </fill>
    </dxf>
    <dxf>
      <fill>
        <patternFill patternType="solid">
          <fgColor rgb="FFFA9A9D"/>
          <bgColor rgb="FF000000"/>
        </patternFill>
      </fill>
    </dxf>
    <dxf>
      <fill>
        <patternFill patternType="solid">
          <fgColor rgb="FFFAA4A7"/>
          <bgColor rgb="FF000000"/>
        </patternFill>
      </fill>
    </dxf>
    <dxf>
      <fill>
        <patternFill patternType="solid">
          <fgColor rgb="FFFAADAF"/>
          <bgColor rgb="FF000000"/>
        </patternFill>
      </fill>
    </dxf>
    <dxf>
      <fill>
        <patternFill patternType="solid">
          <fgColor rgb="FFFAB1B3"/>
          <bgColor rgb="FF000000"/>
        </patternFill>
      </fill>
    </dxf>
    <dxf>
      <fill>
        <patternFill patternType="solid">
          <fgColor rgb="FFFBC7CA"/>
          <bgColor rgb="FF000000"/>
        </patternFill>
      </fill>
    </dxf>
    <dxf>
      <fill>
        <patternFill patternType="solid">
          <fgColor rgb="FFFCFCFF"/>
          <bgColor rgb="FF000000"/>
        </patternFill>
      </fill>
    </dxf>
    <dxf>
      <fill>
        <patternFill>
          <bgColor theme="5" tint="0.7999"/>
        </patternFill>
      </fill>
    </dxf>
    <dxf>
      <fill>
        <patternFill>
          <bgColor theme="5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9999FF"/>
      <rgbColor rgb="FF993366"/>
      <rgbColor rgb="FFFBE5D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472C4"/>
      <rgbColor rgb="FF33CCCC"/>
      <rgbColor rgb="FF99CC00"/>
      <rgbColor rgb="FFFFC000"/>
      <rgbColor rgb="FFFF9900"/>
      <rgbColor rgb="FFED7D31"/>
      <rgbColor rgb="FF595959"/>
      <rgbColor rgb="FFA5A5A5"/>
      <rgbColor rgb="FF003366"/>
      <rgbColor rgb="FF70AD47"/>
      <rgbColor rgb="FF003300"/>
      <rgbColor rgb="FF333300"/>
      <rgbColor rgb="FF9E480E"/>
      <rgbColor rgb="FF993366"/>
      <rgbColor rgb="FF2644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Pout x Vout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"Pout x Vout"</c:f>
              <c:strCache>
                <c:ptCount val="1"/>
                <c:pt idx="0">
                  <c:v>Pout x Vout</c:v>
                </c:pt>
              </c:strCache>
            </c:strRef>
          </c:tx>
          <c:spPr>
            <a:solidFill>
              <a:srgbClr val="4472c4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Operating_characteristics!$I$4:$I$300</c:f>
              <c:numCache>
                <c:formatCode>0</c:formatCode>
                <c:ptCount val="29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170</c:v>
                </c:pt>
                <c:pt idx="7">
                  <c:v>170</c:v>
                </c:pt>
                <c:pt idx="8">
                  <c:v>170</c:v>
                </c:pt>
                <c:pt idx="9">
                  <c:v>170</c:v>
                </c:pt>
                <c:pt idx="10">
                  <c:v>170</c:v>
                </c:pt>
                <c:pt idx="11">
                  <c:v>170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400</c:v>
                </c:pt>
                <c:pt idx="19">
                  <c:v>400</c:v>
                </c:pt>
                <c:pt idx="20">
                  <c:v>400</c:v>
                </c:pt>
                <c:pt idx="21">
                  <c:v>400</c:v>
                </c:pt>
                <c:pt idx="22">
                  <c:v>400</c:v>
                </c:pt>
                <c:pt idx="23">
                  <c:v>400</c:v>
                </c:pt>
                <c:pt idx="24">
                  <c:v>550</c:v>
                </c:pt>
                <c:pt idx="25">
                  <c:v>550</c:v>
                </c:pt>
                <c:pt idx="26">
                  <c:v>550</c:v>
                </c:pt>
                <c:pt idx="27">
                  <c:v>550</c:v>
                </c:pt>
                <c:pt idx="28">
                  <c:v>550</c:v>
                </c:pt>
                <c:pt idx="29">
                  <c:v>550</c:v>
                </c:pt>
                <c:pt idx="30">
                  <c:v>100</c:v>
                </c:pt>
                <c:pt idx="31">
                  <c:v>170</c:v>
                </c:pt>
                <c:pt idx="32">
                  <c:v>250</c:v>
                </c:pt>
                <c:pt idx="33">
                  <c:v>400</c:v>
                </c:pt>
                <c:pt idx="34">
                  <c:v>550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170</c:v>
                </c:pt>
                <c:pt idx="43">
                  <c:v>170</c:v>
                </c:pt>
                <c:pt idx="44">
                  <c:v>170</c:v>
                </c:pt>
                <c:pt idx="45">
                  <c:v>170</c:v>
                </c:pt>
                <c:pt idx="46">
                  <c:v>170</c:v>
                </c:pt>
                <c:pt idx="47">
                  <c:v>170</c:v>
                </c:pt>
                <c:pt idx="48">
                  <c:v>170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400</c:v>
                </c:pt>
                <c:pt idx="57">
                  <c:v>400</c:v>
                </c:pt>
                <c:pt idx="58">
                  <c:v>400</c:v>
                </c:pt>
                <c:pt idx="59">
                  <c:v>400</c:v>
                </c:pt>
                <c:pt idx="60">
                  <c:v>400</c:v>
                </c:pt>
                <c:pt idx="61">
                  <c:v>400</c:v>
                </c:pt>
                <c:pt idx="62">
                  <c:v>400</c:v>
                </c:pt>
                <c:pt idx="63">
                  <c:v>550</c:v>
                </c:pt>
                <c:pt idx="64">
                  <c:v>550</c:v>
                </c:pt>
                <c:pt idx="65">
                  <c:v>550</c:v>
                </c:pt>
                <c:pt idx="66">
                  <c:v>550</c:v>
                </c:pt>
                <c:pt idx="67">
                  <c:v>550</c:v>
                </c:pt>
                <c:pt idx="68">
                  <c:v>550</c:v>
                </c:pt>
                <c:pt idx="69">
                  <c:v>550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250</c:v>
                </c:pt>
                <c:pt idx="80">
                  <c:v>550</c:v>
                </c:pt>
                <c:pt idx="81">
                  <c:v>170</c:v>
                </c:pt>
                <c:pt idx="82">
                  <c:v>170</c:v>
                </c:pt>
                <c:pt idx="83">
                  <c:v>170</c:v>
                </c:pt>
                <c:pt idx="84">
                  <c:v>170</c:v>
                </c:pt>
                <c:pt idx="85">
                  <c:v>170</c:v>
                </c:pt>
                <c:pt idx="86">
                  <c:v>170</c:v>
                </c:pt>
                <c:pt idx="87">
                  <c:v>170</c:v>
                </c:pt>
                <c:pt idx="88">
                  <c:v>100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550</c:v>
                </c:pt>
                <c:pt idx="95">
                  <c:v>400</c:v>
                </c:pt>
                <c:pt idx="96">
                  <c:v>400</c:v>
                </c:pt>
                <c:pt idx="97">
                  <c:v>400</c:v>
                </c:pt>
                <c:pt idx="98">
                  <c:v>400</c:v>
                </c:pt>
                <c:pt idx="99">
                  <c:v>400</c:v>
                </c:pt>
                <c:pt idx="100">
                  <c:v>400</c:v>
                </c:pt>
                <c:pt idx="101">
                  <c:v>400</c:v>
                </c:pt>
                <c:pt idx="102">
                  <c:v>100</c:v>
                </c:pt>
                <c:pt idx="103">
                  <c:v>550</c:v>
                </c:pt>
                <c:pt idx="104">
                  <c:v>550</c:v>
                </c:pt>
                <c:pt idx="105">
                  <c:v>550</c:v>
                </c:pt>
                <c:pt idx="106">
                  <c:v>250</c:v>
                </c:pt>
                <c:pt idx="107">
                  <c:v>550</c:v>
                </c:pt>
                <c:pt idx="108">
                  <c:v>550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170</c:v>
                </c:pt>
                <c:pt idx="118">
                  <c:v>250</c:v>
                </c:pt>
                <c:pt idx="119">
                  <c:v>400</c:v>
                </c:pt>
                <c:pt idx="120">
                  <c:v>550</c:v>
                </c:pt>
                <c:pt idx="121">
                  <c:v>550</c:v>
                </c:pt>
                <c:pt idx="122">
                  <c:v>170</c:v>
                </c:pt>
                <c:pt idx="123">
                  <c:v>250</c:v>
                </c:pt>
                <c:pt idx="124">
                  <c:v>400</c:v>
                </c:pt>
                <c:pt idx="125">
                  <c:v>100</c:v>
                </c:pt>
                <c:pt idx="126">
                  <c:v>100</c:v>
                </c:pt>
                <c:pt idx="127">
                  <c:v>170</c:v>
                </c:pt>
                <c:pt idx="128">
                  <c:v>170</c:v>
                </c:pt>
                <c:pt idx="129">
                  <c:v>170</c:v>
                </c:pt>
                <c:pt idx="130">
                  <c:v>170</c:v>
                </c:pt>
                <c:pt idx="131">
                  <c:v>170</c:v>
                </c:pt>
                <c:pt idx="132">
                  <c:v>170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400</c:v>
                </c:pt>
                <c:pt idx="140">
                  <c:v>400</c:v>
                </c:pt>
                <c:pt idx="141">
                  <c:v>400</c:v>
                </c:pt>
                <c:pt idx="142">
                  <c:v>400</c:v>
                </c:pt>
                <c:pt idx="143">
                  <c:v>400</c:v>
                </c:pt>
                <c:pt idx="144">
                  <c:v>400</c:v>
                </c:pt>
                <c:pt idx="145">
                  <c:v>550</c:v>
                </c:pt>
                <c:pt idx="146">
                  <c:v>550</c:v>
                </c:pt>
                <c:pt idx="147">
                  <c:v>550</c:v>
                </c:pt>
                <c:pt idx="148">
                  <c:v>550</c:v>
                </c:pt>
                <c:pt idx="149">
                  <c:v>550</c:v>
                </c:pt>
                <c:pt idx="150">
                  <c:v>550</c:v>
                </c:pt>
                <c:pt idx="151">
                  <c:v>170</c:v>
                </c:pt>
                <c:pt idx="152">
                  <c:v>250</c:v>
                </c:pt>
                <c:pt idx="153">
                  <c:v>400</c:v>
                </c:pt>
                <c:pt idx="154">
                  <c:v>550</c:v>
                </c:pt>
                <c:pt idx="155">
                  <c:v>400</c:v>
                </c:pt>
                <c:pt idx="156">
                  <c:v>550</c:v>
                </c:pt>
                <c:pt idx="157">
                  <c:v>170</c:v>
                </c:pt>
                <c:pt idx="158">
                  <c:v>250</c:v>
                </c:pt>
                <c:pt idx="159">
                  <c:v>170</c:v>
                </c:pt>
                <c:pt idx="160">
                  <c:v>250</c:v>
                </c:pt>
                <c:pt idx="161">
                  <c:v>400</c:v>
                </c:pt>
                <c:pt idx="162">
                  <c:v>550</c:v>
                </c:pt>
                <c:pt idx="163">
                  <c:v>170</c:v>
                </c:pt>
                <c:pt idx="164">
                  <c:v>250</c:v>
                </c:pt>
                <c:pt idx="165">
                  <c:v>400</c:v>
                </c:pt>
                <c:pt idx="166">
                  <c:v>550</c:v>
                </c:pt>
                <c:pt idx="167">
                  <c:v>400</c:v>
                </c:pt>
                <c:pt idx="168">
                  <c:v>550</c:v>
                </c:pt>
                <c:pt idx="169">
                  <c:v>170</c:v>
                </c:pt>
                <c:pt idx="170">
                  <c:v>250</c:v>
                </c:pt>
                <c:pt idx="171">
                  <c:v>400</c:v>
                </c:pt>
                <c:pt idx="172">
                  <c:v>550</c:v>
                </c:pt>
                <c:pt idx="173">
                  <c:v>170</c:v>
                </c:pt>
                <c:pt idx="174">
                  <c:v>250</c:v>
                </c:pt>
              </c:numCache>
            </c:numRef>
          </c:xVal>
          <c:yVal>
            <c:numRef>
              <c:f>Operating_characteristics!$H$4:$H$300</c:f>
              <c:numCache>
                <c:formatCode>0</c:formatCode>
                <c:ptCount val="29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35</c:v>
                </c:pt>
                <c:pt idx="92">
                  <c:v>35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40</c:v>
                </c:pt>
                <c:pt idx="112">
                  <c:v>40</c:v>
                </c:pt>
                <c:pt idx="113">
                  <c:v>43</c:v>
                </c:pt>
                <c:pt idx="114">
                  <c:v>43</c:v>
                </c:pt>
                <c:pt idx="115">
                  <c:v>45</c:v>
                </c:pt>
                <c:pt idx="116">
                  <c:v>45</c:v>
                </c:pt>
                <c:pt idx="117">
                  <c:v>46</c:v>
                </c:pt>
                <c:pt idx="118">
                  <c:v>46</c:v>
                </c:pt>
                <c:pt idx="119">
                  <c:v>46</c:v>
                </c:pt>
                <c:pt idx="120">
                  <c:v>46</c:v>
                </c:pt>
                <c:pt idx="121">
                  <c:v>46</c:v>
                </c:pt>
                <c:pt idx="122">
                  <c:v>46</c:v>
                </c:pt>
                <c:pt idx="123">
                  <c:v>46</c:v>
                </c:pt>
                <c:pt idx="124">
                  <c:v>46</c:v>
                </c:pt>
                <c:pt idx="125">
                  <c:v>48</c:v>
                </c:pt>
                <c:pt idx="126">
                  <c:v>48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55</c:v>
                </c:pt>
                <c:pt idx="147">
                  <c:v>55</c:v>
                </c:pt>
                <c:pt idx="148">
                  <c:v>55</c:v>
                </c:pt>
                <c:pt idx="149">
                  <c:v>55</c:v>
                </c:pt>
                <c:pt idx="150">
                  <c:v>55</c:v>
                </c:pt>
                <c:pt idx="151">
                  <c:v>57</c:v>
                </c:pt>
                <c:pt idx="152">
                  <c:v>57</c:v>
                </c:pt>
                <c:pt idx="153">
                  <c:v>57</c:v>
                </c:pt>
                <c:pt idx="154">
                  <c:v>57</c:v>
                </c:pt>
                <c:pt idx="155">
                  <c:v>70</c:v>
                </c:pt>
                <c:pt idx="156">
                  <c:v>70</c:v>
                </c:pt>
                <c:pt idx="157">
                  <c:v>70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70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</c:numCache>
            </c:numRef>
          </c:yVal>
          <c:smooth val="0"/>
        </c:ser>
        <c:axId val="71249622"/>
        <c:axId val="24348696"/>
      </c:scatterChart>
      <c:valAx>
        <c:axId val="71249622"/>
        <c:scaling>
          <c:orientation val="minMax"/>
          <c:max val="550"/>
          <c:min val="50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4348696"/>
        <c:crosses val="autoZero"/>
        <c:crossBetween val="midCat"/>
      </c:valAx>
      <c:valAx>
        <c:axId val="243486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124962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Pout x Vin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"Pout x Vin"</c:f>
              <c:strCache>
                <c:ptCount val="1"/>
                <c:pt idx="0">
                  <c:v>Pout x Vin</c:v>
                </c:pt>
              </c:strCache>
            </c:strRef>
          </c:tx>
          <c:spPr>
            <a:solidFill>
              <a:srgbClr val="4472c4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Operating_characteristics!$F$4:$F$300</c:f>
              <c:numCache>
                <c:formatCode>0</c:formatCode>
                <c:ptCount val="297"/>
                <c:pt idx="0">
                  <c:v>10</c:v>
                </c:pt>
                <c:pt idx="1">
                  <c:v>12</c:v>
                </c:pt>
                <c:pt idx="2">
                  <c:v>18</c:v>
                </c:pt>
                <c:pt idx="3">
                  <c:v>20</c:v>
                </c:pt>
                <c:pt idx="4">
                  <c:v>15</c:v>
                </c:pt>
                <c:pt idx="5">
                  <c:v>24</c:v>
                </c:pt>
                <c:pt idx="6">
                  <c:v>10</c:v>
                </c:pt>
                <c:pt idx="7">
                  <c:v>12</c:v>
                </c:pt>
                <c:pt idx="8">
                  <c:v>15</c:v>
                </c:pt>
                <c:pt idx="9">
                  <c:v>18</c:v>
                </c:pt>
                <c:pt idx="10">
                  <c:v>20</c:v>
                </c:pt>
                <c:pt idx="11">
                  <c:v>24</c:v>
                </c:pt>
                <c:pt idx="12">
                  <c:v>15</c:v>
                </c:pt>
                <c:pt idx="13">
                  <c:v>10</c:v>
                </c:pt>
                <c:pt idx="14">
                  <c:v>12</c:v>
                </c:pt>
                <c:pt idx="15">
                  <c:v>18</c:v>
                </c:pt>
                <c:pt idx="16">
                  <c:v>20</c:v>
                </c:pt>
                <c:pt idx="17">
                  <c:v>24</c:v>
                </c:pt>
                <c:pt idx="18">
                  <c:v>10</c:v>
                </c:pt>
                <c:pt idx="19">
                  <c:v>12</c:v>
                </c:pt>
                <c:pt idx="20">
                  <c:v>15</c:v>
                </c:pt>
                <c:pt idx="21">
                  <c:v>18</c:v>
                </c:pt>
                <c:pt idx="22">
                  <c:v>20</c:v>
                </c:pt>
                <c:pt idx="23">
                  <c:v>24</c:v>
                </c:pt>
                <c:pt idx="24">
                  <c:v>15</c:v>
                </c:pt>
                <c:pt idx="25">
                  <c:v>10</c:v>
                </c:pt>
                <c:pt idx="26">
                  <c:v>12</c:v>
                </c:pt>
                <c:pt idx="27">
                  <c:v>18</c:v>
                </c:pt>
                <c:pt idx="28">
                  <c:v>20</c:v>
                </c:pt>
                <c:pt idx="29">
                  <c:v>24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10</c:v>
                </c:pt>
                <c:pt idx="37">
                  <c:v>12</c:v>
                </c:pt>
                <c:pt idx="38">
                  <c:v>15</c:v>
                </c:pt>
                <c:pt idx="39">
                  <c:v>18</c:v>
                </c:pt>
                <c:pt idx="40">
                  <c:v>20</c:v>
                </c:pt>
                <c:pt idx="41">
                  <c:v>24</c:v>
                </c:pt>
                <c:pt idx="42">
                  <c:v>9</c:v>
                </c:pt>
                <c:pt idx="43">
                  <c:v>10</c:v>
                </c:pt>
                <c:pt idx="44">
                  <c:v>12</c:v>
                </c:pt>
                <c:pt idx="45">
                  <c:v>15</c:v>
                </c:pt>
                <c:pt idx="46">
                  <c:v>18</c:v>
                </c:pt>
                <c:pt idx="47">
                  <c:v>20</c:v>
                </c:pt>
                <c:pt idx="48">
                  <c:v>24</c:v>
                </c:pt>
                <c:pt idx="49">
                  <c:v>9</c:v>
                </c:pt>
                <c:pt idx="50">
                  <c:v>10</c:v>
                </c:pt>
                <c:pt idx="51">
                  <c:v>12</c:v>
                </c:pt>
                <c:pt idx="52">
                  <c:v>15</c:v>
                </c:pt>
                <c:pt idx="53">
                  <c:v>18</c:v>
                </c:pt>
                <c:pt idx="54">
                  <c:v>20</c:v>
                </c:pt>
                <c:pt idx="55">
                  <c:v>24</c:v>
                </c:pt>
                <c:pt idx="56">
                  <c:v>9</c:v>
                </c:pt>
                <c:pt idx="57">
                  <c:v>10</c:v>
                </c:pt>
                <c:pt idx="58">
                  <c:v>12</c:v>
                </c:pt>
                <c:pt idx="59">
                  <c:v>15</c:v>
                </c:pt>
                <c:pt idx="60">
                  <c:v>18</c:v>
                </c:pt>
                <c:pt idx="61">
                  <c:v>20</c:v>
                </c:pt>
                <c:pt idx="62">
                  <c:v>24</c:v>
                </c:pt>
                <c:pt idx="63">
                  <c:v>9</c:v>
                </c:pt>
                <c:pt idx="64">
                  <c:v>10</c:v>
                </c:pt>
                <c:pt idx="65">
                  <c:v>12</c:v>
                </c:pt>
                <c:pt idx="66">
                  <c:v>15</c:v>
                </c:pt>
                <c:pt idx="67">
                  <c:v>18</c:v>
                </c:pt>
                <c:pt idx="68">
                  <c:v>20</c:v>
                </c:pt>
                <c:pt idx="69">
                  <c:v>24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10</c:v>
                </c:pt>
                <c:pt idx="74">
                  <c:v>10</c:v>
                </c:pt>
                <c:pt idx="75">
                  <c:v>10</c:v>
                </c:pt>
                <c:pt idx="76">
                  <c:v>15</c:v>
                </c:pt>
                <c:pt idx="77">
                  <c:v>20</c:v>
                </c:pt>
                <c:pt idx="78">
                  <c:v>12</c:v>
                </c:pt>
                <c:pt idx="79">
                  <c:v>12</c:v>
                </c:pt>
                <c:pt idx="80">
                  <c:v>12</c:v>
                </c:pt>
                <c:pt idx="81">
                  <c:v>9</c:v>
                </c:pt>
                <c:pt idx="82">
                  <c:v>10</c:v>
                </c:pt>
                <c:pt idx="83">
                  <c:v>12</c:v>
                </c:pt>
                <c:pt idx="84">
                  <c:v>15</c:v>
                </c:pt>
                <c:pt idx="85">
                  <c:v>18</c:v>
                </c:pt>
                <c:pt idx="86">
                  <c:v>20</c:v>
                </c:pt>
                <c:pt idx="87">
                  <c:v>24</c:v>
                </c:pt>
                <c:pt idx="88">
                  <c:v>18</c:v>
                </c:pt>
                <c:pt idx="89">
                  <c:v>9</c:v>
                </c:pt>
                <c:pt idx="90">
                  <c:v>10</c:v>
                </c:pt>
                <c:pt idx="91">
                  <c:v>15</c:v>
                </c:pt>
                <c:pt idx="92">
                  <c:v>20</c:v>
                </c:pt>
                <c:pt idx="93">
                  <c:v>18</c:v>
                </c:pt>
                <c:pt idx="94">
                  <c:v>18</c:v>
                </c:pt>
                <c:pt idx="95">
                  <c:v>9</c:v>
                </c:pt>
                <c:pt idx="96">
                  <c:v>10</c:v>
                </c:pt>
                <c:pt idx="97">
                  <c:v>12</c:v>
                </c:pt>
                <c:pt idx="98">
                  <c:v>15</c:v>
                </c:pt>
                <c:pt idx="99">
                  <c:v>18</c:v>
                </c:pt>
                <c:pt idx="100">
                  <c:v>20</c:v>
                </c:pt>
                <c:pt idx="101">
                  <c:v>24</c:v>
                </c:pt>
                <c:pt idx="102">
                  <c:v>24</c:v>
                </c:pt>
                <c:pt idx="103">
                  <c:v>9</c:v>
                </c:pt>
                <c:pt idx="104">
                  <c:v>10</c:v>
                </c:pt>
                <c:pt idx="105">
                  <c:v>15</c:v>
                </c:pt>
                <c:pt idx="106">
                  <c:v>24</c:v>
                </c:pt>
                <c:pt idx="107">
                  <c:v>20</c:v>
                </c:pt>
                <c:pt idx="108">
                  <c:v>24</c:v>
                </c:pt>
                <c:pt idx="109">
                  <c:v>12</c:v>
                </c:pt>
                <c:pt idx="110">
                  <c:v>12</c:v>
                </c:pt>
                <c:pt idx="111">
                  <c:v>24</c:v>
                </c:pt>
                <c:pt idx="112">
                  <c:v>15</c:v>
                </c:pt>
                <c:pt idx="113">
                  <c:v>24</c:v>
                </c:pt>
                <c:pt idx="114">
                  <c:v>18</c:v>
                </c:pt>
                <c:pt idx="115">
                  <c:v>20</c:v>
                </c:pt>
                <c:pt idx="116">
                  <c:v>20</c:v>
                </c:pt>
                <c:pt idx="117">
                  <c:v>9</c:v>
                </c:pt>
                <c:pt idx="118">
                  <c:v>9</c:v>
                </c:pt>
                <c:pt idx="119">
                  <c:v>9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9</c:v>
                </c:pt>
                <c:pt idx="124">
                  <c:v>9</c:v>
                </c:pt>
                <c:pt idx="125">
                  <c:v>24</c:v>
                </c:pt>
                <c:pt idx="126">
                  <c:v>24</c:v>
                </c:pt>
                <c:pt idx="127">
                  <c:v>10</c:v>
                </c:pt>
                <c:pt idx="128">
                  <c:v>12</c:v>
                </c:pt>
                <c:pt idx="129">
                  <c:v>15</c:v>
                </c:pt>
                <c:pt idx="130">
                  <c:v>18</c:v>
                </c:pt>
                <c:pt idx="131">
                  <c:v>20</c:v>
                </c:pt>
                <c:pt idx="132">
                  <c:v>24</c:v>
                </c:pt>
                <c:pt idx="133">
                  <c:v>10</c:v>
                </c:pt>
                <c:pt idx="134">
                  <c:v>12</c:v>
                </c:pt>
                <c:pt idx="135">
                  <c:v>15</c:v>
                </c:pt>
                <c:pt idx="136">
                  <c:v>18</c:v>
                </c:pt>
                <c:pt idx="137">
                  <c:v>20</c:v>
                </c:pt>
                <c:pt idx="138">
                  <c:v>24</c:v>
                </c:pt>
                <c:pt idx="139">
                  <c:v>10</c:v>
                </c:pt>
                <c:pt idx="140">
                  <c:v>12</c:v>
                </c:pt>
                <c:pt idx="141">
                  <c:v>15</c:v>
                </c:pt>
                <c:pt idx="142">
                  <c:v>18</c:v>
                </c:pt>
                <c:pt idx="143">
                  <c:v>20</c:v>
                </c:pt>
                <c:pt idx="144">
                  <c:v>24</c:v>
                </c:pt>
                <c:pt idx="145">
                  <c:v>10</c:v>
                </c:pt>
                <c:pt idx="146">
                  <c:v>12</c:v>
                </c:pt>
                <c:pt idx="147">
                  <c:v>15</c:v>
                </c:pt>
                <c:pt idx="148">
                  <c:v>18</c:v>
                </c:pt>
                <c:pt idx="149">
                  <c:v>20</c:v>
                </c:pt>
                <c:pt idx="150">
                  <c:v>24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12</c:v>
                </c:pt>
                <c:pt idx="156">
                  <c:v>12</c:v>
                </c:pt>
                <c:pt idx="157">
                  <c:v>12</c:v>
                </c:pt>
                <c:pt idx="158">
                  <c:v>12</c:v>
                </c:pt>
                <c:pt idx="159">
                  <c:v>15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18</c:v>
                </c:pt>
                <c:pt idx="167">
                  <c:v>24</c:v>
                </c:pt>
                <c:pt idx="168">
                  <c:v>24</c:v>
                </c:pt>
                <c:pt idx="169">
                  <c:v>20</c:v>
                </c:pt>
                <c:pt idx="170">
                  <c:v>20</c:v>
                </c:pt>
                <c:pt idx="171">
                  <c:v>20</c:v>
                </c:pt>
                <c:pt idx="172">
                  <c:v>20</c:v>
                </c:pt>
                <c:pt idx="173">
                  <c:v>24</c:v>
                </c:pt>
                <c:pt idx="174">
                  <c:v>24</c:v>
                </c:pt>
              </c:numCache>
            </c:numRef>
          </c:xVal>
          <c:yVal>
            <c:numRef>
              <c:f>Operating_characteristics!$H$4:$H$300</c:f>
              <c:numCache>
                <c:formatCode>0</c:formatCode>
                <c:ptCount val="29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35</c:v>
                </c:pt>
                <c:pt idx="92">
                  <c:v>35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40</c:v>
                </c:pt>
                <c:pt idx="112">
                  <c:v>40</c:v>
                </c:pt>
                <c:pt idx="113">
                  <c:v>43</c:v>
                </c:pt>
                <c:pt idx="114">
                  <c:v>43</c:v>
                </c:pt>
                <c:pt idx="115">
                  <c:v>45</c:v>
                </c:pt>
                <c:pt idx="116">
                  <c:v>45</c:v>
                </c:pt>
                <c:pt idx="117">
                  <c:v>46</c:v>
                </c:pt>
                <c:pt idx="118">
                  <c:v>46</c:v>
                </c:pt>
                <c:pt idx="119">
                  <c:v>46</c:v>
                </c:pt>
                <c:pt idx="120">
                  <c:v>46</c:v>
                </c:pt>
                <c:pt idx="121">
                  <c:v>46</c:v>
                </c:pt>
                <c:pt idx="122">
                  <c:v>46</c:v>
                </c:pt>
                <c:pt idx="123">
                  <c:v>46</c:v>
                </c:pt>
                <c:pt idx="124">
                  <c:v>46</c:v>
                </c:pt>
                <c:pt idx="125">
                  <c:v>48</c:v>
                </c:pt>
                <c:pt idx="126">
                  <c:v>48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55</c:v>
                </c:pt>
                <c:pt idx="147">
                  <c:v>55</c:v>
                </c:pt>
                <c:pt idx="148">
                  <c:v>55</c:v>
                </c:pt>
                <c:pt idx="149">
                  <c:v>55</c:v>
                </c:pt>
                <c:pt idx="150">
                  <c:v>55</c:v>
                </c:pt>
                <c:pt idx="151">
                  <c:v>57</c:v>
                </c:pt>
                <c:pt idx="152">
                  <c:v>57</c:v>
                </c:pt>
                <c:pt idx="153">
                  <c:v>57</c:v>
                </c:pt>
                <c:pt idx="154">
                  <c:v>57</c:v>
                </c:pt>
                <c:pt idx="155">
                  <c:v>70</c:v>
                </c:pt>
                <c:pt idx="156">
                  <c:v>70</c:v>
                </c:pt>
                <c:pt idx="157">
                  <c:v>70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70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</c:numCache>
            </c:numRef>
          </c:yVal>
          <c:smooth val="0"/>
        </c:ser>
        <c:axId val="52484483"/>
        <c:axId val="44552714"/>
      </c:scatterChart>
      <c:valAx>
        <c:axId val="52484483"/>
        <c:scaling>
          <c:orientation val="minMax"/>
          <c:max val="24"/>
          <c:min val="8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4552714"/>
        <c:crosses val="autoZero"/>
        <c:crossBetween val="midCat"/>
      </c:valAx>
      <c:valAx>
        <c:axId val="4455271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248448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Ilpk x Pout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"Ilpk x Pout"</c:f>
              <c:strCache>
                <c:ptCount val="1"/>
                <c:pt idx="0">
                  <c:v>Ilpk x Pout</c:v>
                </c:pt>
              </c:strCache>
            </c:strRef>
          </c:tx>
          <c:spPr>
            <a:solidFill>
              <a:srgbClr val="4472c4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Operating_characteristics!$H$4:$H$300</c:f>
              <c:numCache>
                <c:formatCode>0</c:formatCode>
                <c:ptCount val="29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35</c:v>
                </c:pt>
                <c:pt idx="92">
                  <c:v>35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40</c:v>
                </c:pt>
                <c:pt idx="112">
                  <c:v>40</c:v>
                </c:pt>
                <c:pt idx="113">
                  <c:v>43</c:v>
                </c:pt>
                <c:pt idx="114">
                  <c:v>43</c:v>
                </c:pt>
                <c:pt idx="115">
                  <c:v>45</c:v>
                </c:pt>
                <c:pt idx="116">
                  <c:v>45</c:v>
                </c:pt>
                <c:pt idx="117">
                  <c:v>46</c:v>
                </c:pt>
                <c:pt idx="118">
                  <c:v>46</c:v>
                </c:pt>
                <c:pt idx="119">
                  <c:v>46</c:v>
                </c:pt>
                <c:pt idx="120">
                  <c:v>46</c:v>
                </c:pt>
                <c:pt idx="121">
                  <c:v>46</c:v>
                </c:pt>
                <c:pt idx="122">
                  <c:v>46</c:v>
                </c:pt>
                <c:pt idx="123">
                  <c:v>46</c:v>
                </c:pt>
                <c:pt idx="124">
                  <c:v>46</c:v>
                </c:pt>
                <c:pt idx="125">
                  <c:v>48</c:v>
                </c:pt>
                <c:pt idx="126">
                  <c:v>48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55</c:v>
                </c:pt>
                <c:pt idx="147">
                  <c:v>55</c:v>
                </c:pt>
                <c:pt idx="148">
                  <c:v>55</c:v>
                </c:pt>
                <c:pt idx="149">
                  <c:v>55</c:v>
                </c:pt>
                <c:pt idx="150">
                  <c:v>55</c:v>
                </c:pt>
                <c:pt idx="151">
                  <c:v>57</c:v>
                </c:pt>
                <c:pt idx="152">
                  <c:v>57</c:v>
                </c:pt>
                <c:pt idx="153">
                  <c:v>57</c:v>
                </c:pt>
                <c:pt idx="154">
                  <c:v>57</c:v>
                </c:pt>
                <c:pt idx="155">
                  <c:v>70</c:v>
                </c:pt>
                <c:pt idx="156">
                  <c:v>70</c:v>
                </c:pt>
                <c:pt idx="157">
                  <c:v>70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70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</c:numCache>
            </c:numRef>
          </c:xVal>
          <c:yVal>
            <c:numRef>
              <c:f>Operating_characteristics!$O$4:$O$300</c:f>
              <c:numCache>
                <c:formatCode>0.0</c:formatCode>
                <c:ptCount val="297"/>
                <c:pt idx="0">
                  <c:v>7.51646028002829</c:v>
                </c:pt>
                <c:pt idx="1">
                  <c:v>7.51646028002829</c:v>
                </c:pt>
                <c:pt idx="2">
                  <c:v>7.51646028002829</c:v>
                </c:pt>
                <c:pt idx="3">
                  <c:v>7.51646028002829</c:v>
                </c:pt>
                <c:pt idx="4">
                  <c:v>7.51646028002829</c:v>
                </c:pt>
                <c:pt idx="5">
                  <c:v>7.51646028002829</c:v>
                </c:pt>
                <c:pt idx="6">
                  <c:v>7.51646028002829</c:v>
                </c:pt>
                <c:pt idx="7">
                  <c:v>7.51646028002829</c:v>
                </c:pt>
                <c:pt idx="8">
                  <c:v>7.51646028002829</c:v>
                </c:pt>
                <c:pt idx="9">
                  <c:v>7.51646028002829</c:v>
                </c:pt>
                <c:pt idx="10">
                  <c:v>7.51646028002829</c:v>
                </c:pt>
                <c:pt idx="11">
                  <c:v>7.51646028002829</c:v>
                </c:pt>
                <c:pt idx="12">
                  <c:v>7.51646028002829</c:v>
                </c:pt>
                <c:pt idx="13">
                  <c:v>7.51646028002829</c:v>
                </c:pt>
                <c:pt idx="14">
                  <c:v>7.51646028002829</c:v>
                </c:pt>
                <c:pt idx="15">
                  <c:v>7.51646028002829</c:v>
                </c:pt>
                <c:pt idx="16">
                  <c:v>7.51646028002829</c:v>
                </c:pt>
                <c:pt idx="17">
                  <c:v>7.51646028002829</c:v>
                </c:pt>
                <c:pt idx="18">
                  <c:v>7.51646028002829</c:v>
                </c:pt>
                <c:pt idx="19">
                  <c:v>7.51646028002829</c:v>
                </c:pt>
                <c:pt idx="20">
                  <c:v>7.51646028002829</c:v>
                </c:pt>
                <c:pt idx="21">
                  <c:v>7.51646028002829</c:v>
                </c:pt>
                <c:pt idx="22">
                  <c:v>7.51646028002829</c:v>
                </c:pt>
                <c:pt idx="23">
                  <c:v>7.51646028002829</c:v>
                </c:pt>
                <c:pt idx="24">
                  <c:v>7.51646028002829</c:v>
                </c:pt>
                <c:pt idx="25">
                  <c:v>7.51646028002829</c:v>
                </c:pt>
                <c:pt idx="26">
                  <c:v>7.51646028002829</c:v>
                </c:pt>
                <c:pt idx="27">
                  <c:v>7.51646028002829</c:v>
                </c:pt>
                <c:pt idx="28">
                  <c:v>7.51646028002829</c:v>
                </c:pt>
                <c:pt idx="29">
                  <c:v>7.51646028002829</c:v>
                </c:pt>
                <c:pt idx="30">
                  <c:v>7.51646028002829</c:v>
                </c:pt>
                <c:pt idx="31">
                  <c:v>7.51646028002829</c:v>
                </c:pt>
                <c:pt idx="32">
                  <c:v>7.51646028002829</c:v>
                </c:pt>
                <c:pt idx="33">
                  <c:v>7.51646028002829</c:v>
                </c:pt>
                <c:pt idx="34">
                  <c:v>7.51646028002829</c:v>
                </c:pt>
                <c:pt idx="35">
                  <c:v>15.0329205600566</c:v>
                </c:pt>
                <c:pt idx="36">
                  <c:v>15.0329205600566</c:v>
                </c:pt>
                <c:pt idx="37">
                  <c:v>15.0329205600566</c:v>
                </c:pt>
                <c:pt idx="38">
                  <c:v>15.0329205600566</c:v>
                </c:pt>
                <c:pt idx="39">
                  <c:v>15.0329205600566</c:v>
                </c:pt>
                <c:pt idx="40">
                  <c:v>15.0329205600566</c:v>
                </c:pt>
                <c:pt idx="41">
                  <c:v>15.0329205600566</c:v>
                </c:pt>
                <c:pt idx="42">
                  <c:v>15.0329205600566</c:v>
                </c:pt>
                <c:pt idx="43">
                  <c:v>15.0329205600566</c:v>
                </c:pt>
                <c:pt idx="44">
                  <c:v>15.0329205600566</c:v>
                </c:pt>
                <c:pt idx="45">
                  <c:v>15.0329205600566</c:v>
                </c:pt>
                <c:pt idx="46">
                  <c:v>15.0329205600566</c:v>
                </c:pt>
                <c:pt idx="47">
                  <c:v>15.0329205600566</c:v>
                </c:pt>
                <c:pt idx="48">
                  <c:v>15.0329205600566</c:v>
                </c:pt>
                <c:pt idx="49">
                  <c:v>15.0329205600566</c:v>
                </c:pt>
                <c:pt idx="50">
                  <c:v>15.0329205600566</c:v>
                </c:pt>
                <c:pt idx="51">
                  <c:v>15.0329205600566</c:v>
                </c:pt>
                <c:pt idx="52">
                  <c:v>15.0329205600566</c:v>
                </c:pt>
                <c:pt idx="53">
                  <c:v>15.0329205600566</c:v>
                </c:pt>
                <c:pt idx="54">
                  <c:v>15.0329205600566</c:v>
                </c:pt>
                <c:pt idx="55">
                  <c:v>15.0329205600566</c:v>
                </c:pt>
                <c:pt idx="56">
                  <c:v>15.0329205600566</c:v>
                </c:pt>
                <c:pt idx="57">
                  <c:v>15.0329205600566</c:v>
                </c:pt>
                <c:pt idx="58">
                  <c:v>15.0329205600566</c:v>
                </c:pt>
                <c:pt idx="59">
                  <c:v>15.0329205600566</c:v>
                </c:pt>
                <c:pt idx="60">
                  <c:v>15.0329205600566</c:v>
                </c:pt>
                <c:pt idx="61">
                  <c:v>15.0329205600566</c:v>
                </c:pt>
                <c:pt idx="62">
                  <c:v>15.0329205600566</c:v>
                </c:pt>
                <c:pt idx="63">
                  <c:v>15.0329205600566</c:v>
                </c:pt>
                <c:pt idx="64">
                  <c:v>15.0329205600566</c:v>
                </c:pt>
                <c:pt idx="65">
                  <c:v>15.0329205600566</c:v>
                </c:pt>
                <c:pt idx="66">
                  <c:v>15.0329205600566</c:v>
                </c:pt>
                <c:pt idx="67">
                  <c:v>15.0329205600566</c:v>
                </c:pt>
                <c:pt idx="68">
                  <c:v>15.0329205600566</c:v>
                </c:pt>
                <c:pt idx="69">
                  <c:v>15.0329205600566</c:v>
                </c:pt>
                <c:pt idx="70">
                  <c:v>18.1020334719393</c:v>
                </c:pt>
                <c:pt idx="71">
                  <c:v>18.1020334719393</c:v>
                </c:pt>
                <c:pt idx="72">
                  <c:v>18.1020334719393</c:v>
                </c:pt>
                <c:pt idx="73">
                  <c:v>18.7158351637245</c:v>
                </c:pt>
                <c:pt idx="74">
                  <c:v>18.7158351637245</c:v>
                </c:pt>
                <c:pt idx="75">
                  <c:v>18.7158351637245</c:v>
                </c:pt>
                <c:pt idx="76">
                  <c:v>19.8866846404498</c:v>
                </c:pt>
                <c:pt idx="77">
                  <c:v>19.8866846404498</c:v>
                </c:pt>
                <c:pt idx="78">
                  <c:v>19.8866846404498</c:v>
                </c:pt>
                <c:pt idx="79">
                  <c:v>19.8866846404498</c:v>
                </c:pt>
                <c:pt idx="80">
                  <c:v>19.8866846404498</c:v>
                </c:pt>
                <c:pt idx="81">
                  <c:v>19.8866846404498</c:v>
                </c:pt>
                <c:pt idx="82">
                  <c:v>19.8866846404498</c:v>
                </c:pt>
                <c:pt idx="83">
                  <c:v>19.8866846404498</c:v>
                </c:pt>
                <c:pt idx="84">
                  <c:v>19.8866846404498</c:v>
                </c:pt>
                <c:pt idx="85">
                  <c:v>19.8866846404498</c:v>
                </c:pt>
                <c:pt idx="86">
                  <c:v>19.8866846404498</c:v>
                </c:pt>
                <c:pt idx="87">
                  <c:v>19.8866846404498</c:v>
                </c:pt>
                <c:pt idx="88">
                  <c:v>19.8866846404498</c:v>
                </c:pt>
                <c:pt idx="89">
                  <c:v>19.8866846404498</c:v>
                </c:pt>
                <c:pt idx="90">
                  <c:v>19.8866846404498</c:v>
                </c:pt>
                <c:pt idx="91">
                  <c:v>19.8866846404498</c:v>
                </c:pt>
                <c:pt idx="92">
                  <c:v>19.8866846404498</c:v>
                </c:pt>
                <c:pt idx="93">
                  <c:v>19.8866846404498</c:v>
                </c:pt>
                <c:pt idx="94">
                  <c:v>19.8866846404498</c:v>
                </c:pt>
                <c:pt idx="95">
                  <c:v>19.8866846404498</c:v>
                </c:pt>
                <c:pt idx="96">
                  <c:v>19.8866846404498</c:v>
                </c:pt>
                <c:pt idx="97">
                  <c:v>19.8866846404498</c:v>
                </c:pt>
                <c:pt idx="98">
                  <c:v>19.8866846404498</c:v>
                </c:pt>
                <c:pt idx="99">
                  <c:v>19.8866846404498</c:v>
                </c:pt>
                <c:pt idx="100">
                  <c:v>19.8866846404498</c:v>
                </c:pt>
                <c:pt idx="101">
                  <c:v>19.8866846404498</c:v>
                </c:pt>
                <c:pt idx="102">
                  <c:v>19.8866846404498</c:v>
                </c:pt>
                <c:pt idx="103">
                  <c:v>19.8866846404498</c:v>
                </c:pt>
                <c:pt idx="104">
                  <c:v>19.8866846404498</c:v>
                </c:pt>
                <c:pt idx="105">
                  <c:v>19.8866846404498</c:v>
                </c:pt>
                <c:pt idx="106">
                  <c:v>19.8866846404498</c:v>
                </c:pt>
                <c:pt idx="107">
                  <c:v>19.8866846404498</c:v>
                </c:pt>
                <c:pt idx="108">
                  <c:v>19.8866846404498</c:v>
                </c:pt>
                <c:pt idx="109">
                  <c:v>19.8866846404498</c:v>
                </c:pt>
                <c:pt idx="110">
                  <c:v>19.8866846404498</c:v>
                </c:pt>
                <c:pt idx="111">
                  <c:v>21.2597601381094</c:v>
                </c:pt>
                <c:pt idx="112">
                  <c:v>21.2597601381094</c:v>
                </c:pt>
                <c:pt idx="113">
                  <c:v>22.042588464486</c:v>
                </c:pt>
                <c:pt idx="114">
                  <c:v>22.042588464486</c:v>
                </c:pt>
                <c:pt idx="115">
                  <c:v>22.5493808400849</c:v>
                </c:pt>
                <c:pt idx="116">
                  <c:v>22.5493808400849</c:v>
                </c:pt>
                <c:pt idx="117">
                  <c:v>22.7985528334461</c:v>
                </c:pt>
                <c:pt idx="118">
                  <c:v>22.7985528334461</c:v>
                </c:pt>
                <c:pt idx="119">
                  <c:v>22.7985528334461</c:v>
                </c:pt>
                <c:pt idx="120">
                  <c:v>22.7985528334461</c:v>
                </c:pt>
                <c:pt idx="121">
                  <c:v>22.7985528334461</c:v>
                </c:pt>
                <c:pt idx="122">
                  <c:v>22.7985528334461</c:v>
                </c:pt>
                <c:pt idx="123">
                  <c:v>22.7985528334461</c:v>
                </c:pt>
                <c:pt idx="124">
                  <c:v>22.7985528334461</c:v>
                </c:pt>
                <c:pt idx="125">
                  <c:v>23.2889003895833</c:v>
                </c:pt>
                <c:pt idx="126">
                  <c:v>23.2889003895833</c:v>
                </c:pt>
                <c:pt idx="127">
                  <c:v>24.9292785004635</c:v>
                </c:pt>
                <c:pt idx="128">
                  <c:v>24.9292785004635</c:v>
                </c:pt>
                <c:pt idx="129">
                  <c:v>24.9292785004635</c:v>
                </c:pt>
                <c:pt idx="130">
                  <c:v>24.9292785004635</c:v>
                </c:pt>
                <c:pt idx="131">
                  <c:v>24.9292785004635</c:v>
                </c:pt>
                <c:pt idx="132">
                  <c:v>24.9292785004635</c:v>
                </c:pt>
                <c:pt idx="133">
                  <c:v>24.9292785004635</c:v>
                </c:pt>
                <c:pt idx="134">
                  <c:v>24.9292785004635</c:v>
                </c:pt>
                <c:pt idx="135">
                  <c:v>24.9292785004635</c:v>
                </c:pt>
                <c:pt idx="136">
                  <c:v>24.9292785004635</c:v>
                </c:pt>
                <c:pt idx="137">
                  <c:v>24.9292785004635</c:v>
                </c:pt>
                <c:pt idx="138">
                  <c:v>24.9292785004635</c:v>
                </c:pt>
                <c:pt idx="139">
                  <c:v>24.9292785004635</c:v>
                </c:pt>
                <c:pt idx="140">
                  <c:v>24.9292785004635</c:v>
                </c:pt>
                <c:pt idx="141">
                  <c:v>24.9292785004635</c:v>
                </c:pt>
                <c:pt idx="142">
                  <c:v>24.9292785004635</c:v>
                </c:pt>
                <c:pt idx="143">
                  <c:v>24.9292785004635</c:v>
                </c:pt>
                <c:pt idx="144">
                  <c:v>24.9292785004635</c:v>
                </c:pt>
                <c:pt idx="145">
                  <c:v>24.9292785004635</c:v>
                </c:pt>
                <c:pt idx="146">
                  <c:v>24.9292785004635</c:v>
                </c:pt>
                <c:pt idx="147">
                  <c:v>24.9292785004635</c:v>
                </c:pt>
                <c:pt idx="148">
                  <c:v>24.9292785004635</c:v>
                </c:pt>
                <c:pt idx="149">
                  <c:v>24.9292785004635</c:v>
                </c:pt>
                <c:pt idx="150">
                  <c:v>24.9292785004635</c:v>
                </c:pt>
                <c:pt idx="151">
                  <c:v>25.3784908260946</c:v>
                </c:pt>
                <c:pt idx="152">
                  <c:v>25.3784908260946</c:v>
                </c:pt>
                <c:pt idx="153">
                  <c:v>25.3784908260946</c:v>
                </c:pt>
                <c:pt idx="154">
                  <c:v>25.3784908260946</c:v>
                </c:pt>
                <c:pt idx="155">
                  <c:v>28.1240191291608</c:v>
                </c:pt>
                <c:pt idx="156">
                  <c:v>28.1240191291608</c:v>
                </c:pt>
                <c:pt idx="157">
                  <c:v>28.1240191291608</c:v>
                </c:pt>
                <c:pt idx="158">
                  <c:v>28.1240191291608</c:v>
                </c:pt>
                <c:pt idx="159">
                  <c:v>28.1240191291608</c:v>
                </c:pt>
                <c:pt idx="160">
                  <c:v>28.1240191291608</c:v>
                </c:pt>
                <c:pt idx="161">
                  <c:v>28.1240191291608</c:v>
                </c:pt>
                <c:pt idx="162">
                  <c:v>28.1240191291608</c:v>
                </c:pt>
                <c:pt idx="163">
                  <c:v>28.1240191291608</c:v>
                </c:pt>
                <c:pt idx="164">
                  <c:v>28.1240191291608</c:v>
                </c:pt>
                <c:pt idx="165">
                  <c:v>28.1240191291608</c:v>
                </c:pt>
                <c:pt idx="166">
                  <c:v>28.1240191291608</c:v>
                </c:pt>
                <c:pt idx="167">
                  <c:v>28.1240191291608</c:v>
                </c:pt>
                <c:pt idx="168">
                  <c:v>28.1240191291608</c:v>
                </c:pt>
                <c:pt idx="169">
                  <c:v>28.1240191291608</c:v>
                </c:pt>
                <c:pt idx="170">
                  <c:v>28.1240191291608</c:v>
                </c:pt>
                <c:pt idx="171">
                  <c:v>28.1240191291608</c:v>
                </c:pt>
                <c:pt idx="172">
                  <c:v>28.1240191291608</c:v>
                </c:pt>
                <c:pt idx="173">
                  <c:v>28.1240191291608</c:v>
                </c:pt>
                <c:pt idx="174">
                  <c:v>28.1240191291608</c:v>
                </c:pt>
              </c:numCache>
            </c:numRef>
          </c:yVal>
          <c:smooth val="0"/>
        </c:ser>
        <c:axId val="10179949"/>
        <c:axId val="9404693"/>
      </c:scatterChart>
      <c:valAx>
        <c:axId val="10179949"/>
        <c:scaling>
          <c:orientation val="minMax"/>
          <c:max val="70"/>
          <c:min val="5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404693"/>
        <c:crosses val="autoZero"/>
        <c:crossBetween val="midCat"/>
        <c:majorUnit val="5"/>
      </c:valAx>
      <c:valAx>
        <c:axId val="94046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017994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593554678842147"/>
          <c:y val="0.0355619755124501"/>
          <c:w val="0.886475464337958"/>
          <c:h val="0.889393314073463"/>
        </c:manualLayout>
      </c:layout>
      <c:scatterChart>
        <c:scatterStyle val="line"/>
        <c:varyColors val="0"/>
        <c:ser>
          <c:idx val="0"/>
          <c:order val="0"/>
          <c:tx>
            <c:strRef>
              <c:f>compensation!$I$7</c:f>
              <c:strCache>
                <c:ptCount val="1"/>
                <c:pt idx="0">
                  <c:v>100Vx70W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compensation!$H$8:$H$14</c:f>
              <c:numCache>
                <c:formatCode>0.00</c:formatCode>
                <c:ptCount val="7"/>
                <c:pt idx="0">
                  <c:v>0.0111408460164327</c:v>
                </c:pt>
                <c:pt idx="1">
                  <c:v>1.11408460164327</c:v>
                </c:pt>
                <c:pt idx="2">
                  <c:v>111.408460164327</c:v>
                </c:pt>
                <c:pt idx="3">
                  <c:v>1114.08460164327</c:v>
                </c:pt>
                <c:pt idx="4">
                  <c:v>11140.8460164327</c:v>
                </c:pt>
                <c:pt idx="5">
                  <c:v>15915.4943091895</c:v>
                </c:pt>
                <c:pt idx="6">
                  <c:v>159154.943091895</c:v>
                </c:pt>
              </c:numCache>
            </c:numRef>
          </c:xVal>
          <c:yVal>
            <c:numRef>
              <c:f>compensation!$I$8:$I$14</c:f>
              <c:numCache>
                <c:formatCode>0</c:formatCode>
                <c:ptCount val="7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20</c:v>
                </c:pt>
                <c:pt idx="4">
                  <c:v>0</c:v>
                </c:pt>
                <c:pt idx="5">
                  <c:v>-3</c:v>
                </c:pt>
                <c:pt idx="6">
                  <c:v>-3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compensation!$L$7</c:f>
              <c:strCache>
                <c:ptCount val="1"/>
                <c:pt idx="0">
                  <c:v>500Vx5W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compensation!$K$8:$K$16</c:f>
              <c:numCache>
                <c:formatCode>0.0</c:formatCode>
                <c:ptCount val="9"/>
                <c:pt idx="0">
                  <c:v>3.18309886183791E-005</c:v>
                </c:pt>
                <c:pt idx="1">
                  <c:v>0.00318309886183791</c:v>
                </c:pt>
                <c:pt idx="2">
                  <c:v>0.318309886183791</c:v>
                </c:pt>
                <c:pt idx="3">
                  <c:v>3.18309886183791</c:v>
                </c:pt>
                <c:pt idx="4">
                  <c:v>31.8309886183791</c:v>
                </c:pt>
                <c:pt idx="5">
                  <c:v>318.309886183791</c:v>
                </c:pt>
                <c:pt idx="6">
                  <c:v>3183.09886183791</c:v>
                </c:pt>
                <c:pt idx="7">
                  <c:v>15915.4943091895</c:v>
                </c:pt>
                <c:pt idx="8">
                  <c:v>159154.943091895</c:v>
                </c:pt>
              </c:numCache>
            </c:numRef>
          </c:xVal>
          <c:yVal>
            <c:numRef>
              <c:f>compensation!$L$8:$L$16</c:f>
              <c:numCache>
                <c:formatCode>0</c:formatCode>
                <c:ptCount val="9"/>
                <c:pt idx="0">
                  <c:v>53.9794000867204</c:v>
                </c:pt>
                <c:pt idx="1">
                  <c:v>53.9794000867204</c:v>
                </c:pt>
                <c:pt idx="2">
                  <c:v>53.9794000867204</c:v>
                </c:pt>
                <c:pt idx="3">
                  <c:v>33.9794000867204</c:v>
                </c:pt>
                <c:pt idx="4">
                  <c:v>13.9794000867204</c:v>
                </c:pt>
                <c:pt idx="5">
                  <c:v>-6.02059991327963</c:v>
                </c:pt>
                <c:pt idx="6">
                  <c:v>-26.0205999132796</c:v>
                </c:pt>
                <c:pt idx="7">
                  <c:v>-40</c:v>
                </c:pt>
                <c:pt idx="8">
                  <c:v>-40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compensation!$O$7</c:f>
              <c:strCache>
                <c:ptCount val="1"/>
                <c:pt idx="0">
                  <c:v>100Vx5W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compensation!$N$8:$N$15</c:f>
              <c:numCache>
                <c:formatCode>0.0</c:formatCode>
                <c:ptCount val="8"/>
                <c:pt idx="0">
                  <c:v>0.000795774715459477</c:v>
                </c:pt>
                <c:pt idx="1">
                  <c:v>0.0795774715459477</c:v>
                </c:pt>
                <c:pt idx="2">
                  <c:v>7.95774715459477</c:v>
                </c:pt>
                <c:pt idx="3">
                  <c:v>79.5774715459477</c:v>
                </c:pt>
                <c:pt idx="4">
                  <c:v>795.774715459477</c:v>
                </c:pt>
                <c:pt idx="5">
                  <c:v>7957.74715459477</c:v>
                </c:pt>
                <c:pt idx="6">
                  <c:v>15915.4943091895</c:v>
                </c:pt>
                <c:pt idx="7">
                  <c:v>159154.943091895</c:v>
                </c:pt>
              </c:numCache>
            </c:numRef>
          </c:xVal>
          <c:yVal>
            <c:numRef>
              <c:f>compensation!$O$8:$O$15</c:f>
              <c:numCache>
                <c:formatCode>0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20</c:v>
                </c:pt>
                <c:pt idx="4">
                  <c:v>0</c:v>
                </c:pt>
                <c:pt idx="5">
                  <c:v>-20</c:v>
                </c:pt>
                <c:pt idx="6">
                  <c:v>-26</c:v>
                </c:pt>
                <c:pt idx="7">
                  <c:v>-26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compensation!$R$7</c:f>
              <c:strCache>
                <c:ptCount val="1"/>
                <c:pt idx="0">
                  <c:v>500Vx70W</c:v>
                </c:pt>
              </c:strCache>
            </c:strRef>
          </c:tx>
          <c:spPr>
            <a:solidFill>
              <a:srgbClr val="ffc000"/>
            </a:solidFill>
            <a:ln cap="rnd" w="1908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compensation!$Q$8:$Q$15</c:f>
              <c:numCache>
                <c:formatCode>0.0</c:formatCode>
                <c:ptCount val="8"/>
                <c:pt idx="0">
                  <c:v>0.000445633840657307</c:v>
                </c:pt>
                <c:pt idx="1">
                  <c:v>0.0445633840657307</c:v>
                </c:pt>
                <c:pt idx="2">
                  <c:v>4.45633840657307</c:v>
                </c:pt>
                <c:pt idx="3">
                  <c:v>44.5633840657307</c:v>
                </c:pt>
                <c:pt idx="4">
                  <c:v>445.633840657307</c:v>
                </c:pt>
                <c:pt idx="5">
                  <c:v>4456.33840657307</c:v>
                </c:pt>
                <c:pt idx="6">
                  <c:v>15915.4943091895</c:v>
                </c:pt>
                <c:pt idx="7">
                  <c:v>159154.943091895</c:v>
                </c:pt>
              </c:numCache>
            </c:numRef>
          </c:xVal>
          <c:yVal>
            <c:numRef>
              <c:f>compensation!$R$8:$R$15</c:f>
              <c:numCache>
                <c:formatCode>0</c:formatCode>
                <c:ptCount val="8"/>
                <c:pt idx="0">
                  <c:v>53.9794000867204</c:v>
                </c:pt>
                <c:pt idx="1">
                  <c:v>53.9794000867204</c:v>
                </c:pt>
                <c:pt idx="2">
                  <c:v>53.9794000867204</c:v>
                </c:pt>
                <c:pt idx="3">
                  <c:v>33.9794000867204</c:v>
                </c:pt>
                <c:pt idx="4">
                  <c:v>13.9794000867204</c:v>
                </c:pt>
                <c:pt idx="5">
                  <c:v>-6.02059991327963</c:v>
                </c:pt>
                <c:pt idx="6">
                  <c:v>-16.7</c:v>
                </c:pt>
                <c:pt idx="7">
                  <c:v>-16.7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compensation!$I$22</c:f>
              <c:strCache>
                <c:ptCount val="1"/>
                <c:pt idx="0">
                  <c:v>Comp #1</c:v>
                </c:pt>
              </c:strCache>
            </c:strRef>
          </c:tx>
          <c:spPr>
            <a:solidFill>
              <a:srgbClr val="70ad47"/>
            </a:solidFill>
            <a:ln cap="rnd" w="1908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compensation!$H$23:$H$26</c:f>
              <c:numCache>
                <c:formatCode>General</c:formatCode>
                <c:ptCount val="4"/>
                <c:pt idx="0">
                  <c:v>0.0106103295394597</c:v>
                </c:pt>
                <c:pt idx="1">
                  <c:v>1.06103295394597</c:v>
                </c:pt>
                <c:pt idx="2">
                  <c:v>15915.5102246998</c:v>
                </c:pt>
                <c:pt idx="3">
                  <c:v>1591551.02246998</c:v>
                </c:pt>
              </c:numCache>
            </c:numRef>
          </c:xVal>
          <c:yVal>
            <c:numRef>
              <c:f>compensation!$J$23:$J$26</c:f>
              <c:numCache>
                <c:formatCode>0</c:formatCode>
                <c:ptCount val="4"/>
                <c:pt idx="0">
                  <c:v>-69.8970004336019</c:v>
                </c:pt>
                <c:pt idx="1">
                  <c:v>-29.8970004336019</c:v>
                </c:pt>
                <c:pt idx="2">
                  <c:v>-29.8970004336019</c:v>
                </c:pt>
                <c:pt idx="3">
                  <c:v>10.1029995663981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compensation!$M$22</c:f>
              <c:strCache>
                <c:ptCount val="1"/>
                <c:pt idx="0">
                  <c:v>Conp #2</c:v>
                </c:pt>
              </c:strCache>
            </c:strRef>
          </c:tx>
          <c:spPr>
            <a:solidFill>
              <a:srgbClr val="264478"/>
            </a:solidFill>
            <a:ln cap="rnd" w="19080">
              <a:solidFill>
                <a:srgbClr val="26447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compensation!$L$24:$L$27</c:f>
              <c:numCache>
                <c:formatCode>General</c:formatCode>
                <c:ptCount val="4"/>
                <c:pt idx="0">
                  <c:v>1.06103295394597</c:v>
                </c:pt>
                <c:pt idx="1">
                  <c:v>106.103295394597</c:v>
                </c:pt>
                <c:pt idx="2">
                  <c:v>15915.5102246998</c:v>
                </c:pt>
                <c:pt idx="3">
                  <c:v>1591551.02246998</c:v>
                </c:pt>
              </c:numCache>
            </c:numRef>
          </c:xVal>
          <c:yVal>
            <c:numRef>
              <c:f>compensation!$N$24:$N$27</c:f>
              <c:numCache>
                <c:formatCode>0</c:formatCode>
                <c:ptCount val="4"/>
                <c:pt idx="0">
                  <c:v>-49.8970004336019</c:v>
                </c:pt>
                <c:pt idx="1">
                  <c:v>-9.89700043360188</c:v>
                </c:pt>
                <c:pt idx="2">
                  <c:v>-9.89700043360188</c:v>
                </c:pt>
                <c:pt idx="3">
                  <c:v>30.1029995663981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compensation!$Q$22</c:f>
              <c:strCache>
                <c:ptCount val="1"/>
                <c:pt idx="0">
                  <c:v>Comp #3</c:v>
                </c:pt>
              </c:strCache>
            </c:strRef>
          </c:tx>
          <c:spPr>
            <a:solidFill>
              <a:srgbClr val="9e480e"/>
            </a:solidFill>
            <a:ln cap="rnd" w="19080">
              <a:solidFill>
                <a:srgbClr val="9e480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compensation!$P$23:$P$28</c:f>
              <c:numCache>
                <c:formatCode>General</c:formatCode>
                <c:ptCount val="6"/>
                <c:pt idx="0">
                  <c:v>0.00159154943091895</c:v>
                </c:pt>
                <c:pt idx="1">
                  <c:v>0.159154943091895</c:v>
                </c:pt>
                <c:pt idx="2">
                  <c:v>15.9154943091895</c:v>
                </c:pt>
                <c:pt idx="3">
                  <c:v>15915.4943091895</c:v>
                </c:pt>
                <c:pt idx="4">
                  <c:v>1591549.43091895</c:v>
                </c:pt>
                <c:pt idx="5">
                  <c:v>159154943.091895</c:v>
                </c:pt>
              </c:numCache>
            </c:numRef>
          </c:xVal>
          <c:yVal>
            <c:numRef>
              <c:f>compensation!$R$23:$R$28</c:f>
              <c:numCache>
                <c:formatCode>0</c:formatCode>
                <c:ptCount val="6"/>
                <c:pt idx="0">
                  <c:v>-66.3751752524883</c:v>
                </c:pt>
                <c:pt idx="1">
                  <c:v>-26.3751752524883</c:v>
                </c:pt>
                <c:pt idx="2">
                  <c:v>13.6248247475117</c:v>
                </c:pt>
                <c:pt idx="3">
                  <c:v>13.6248247475117</c:v>
                </c:pt>
                <c:pt idx="4">
                  <c:v>53.6248247475117</c:v>
                </c:pt>
                <c:pt idx="5">
                  <c:v>93.6248247475118</c:v>
                </c:pt>
              </c:numCache>
            </c:numRef>
          </c:yVal>
          <c:smooth val="0"/>
        </c:ser>
        <c:axId val="18384610"/>
        <c:axId val="39925293"/>
      </c:scatterChart>
      <c:valAx>
        <c:axId val="18384610"/>
        <c:scaling>
          <c:logBase val="10"/>
          <c:orientation val="minMax"/>
          <c:max val="100000"/>
          <c:min val="0.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9925293"/>
        <c:crosses val="autoZero"/>
        <c:crossBetween val="midCat"/>
      </c:valAx>
      <c:valAx>
        <c:axId val="399252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8384610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470411965081359"/>
          <c:y val="0.85576851613559"/>
          <c:w val="0.466544102708905"/>
          <c:h val="0.065819397022041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607809194075784"/>
          <c:y val="0.0408464048847247"/>
          <c:w val="0.869333846252484"/>
          <c:h val="0.802084429939994"/>
        </c:manualLayout>
      </c:layout>
      <c:scatterChart>
        <c:scatterStyle val="line"/>
        <c:varyColors val="0"/>
        <c:ser>
          <c:idx val="0"/>
          <c:order val="0"/>
          <c:tx>
            <c:strRef>
              <c:f>Transformer!$B$9</c:f>
              <c:strCache>
                <c:ptCount val="1"/>
                <c:pt idx="0">
                  <c:v>Primary [V]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Transformer!$C$8:$R$8</c:f>
              <c:numCache>
                <c:formatCode>0.00</c:formatCode>
                <c:ptCount val="16"/>
                <c:pt idx="0">
                  <c:v>49.92</c:v>
                </c:pt>
                <c:pt idx="1">
                  <c:v>59.784</c:v>
                </c:pt>
                <c:pt idx="2">
                  <c:v>69.911</c:v>
                </c:pt>
                <c:pt idx="3">
                  <c:v>80</c:v>
                </c:pt>
                <c:pt idx="4">
                  <c:v>89.82</c:v>
                </c:pt>
                <c:pt idx="5">
                  <c:v>100</c:v>
                </c:pt>
                <c:pt idx="6">
                  <c:v>110.02</c:v>
                </c:pt>
                <c:pt idx="7">
                  <c:v>119.93</c:v>
                </c:pt>
                <c:pt idx="8">
                  <c:v>130.21</c:v>
                </c:pt>
                <c:pt idx="9">
                  <c:v>140.1</c:v>
                </c:pt>
                <c:pt idx="10">
                  <c:v>149.97</c:v>
                </c:pt>
                <c:pt idx="11">
                  <c:v>160.31</c:v>
                </c:pt>
                <c:pt idx="12">
                  <c:v>169.87</c:v>
                </c:pt>
                <c:pt idx="13">
                  <c:v>179.79</c:v>
                </c:pt>
                <c:pt idx="14">
                  <c:v>189.9</c:v>
                </c:pt>
                <c:pt idx="15">
                  <c:v>199.96</c:v>
                </c:pt>
              </c:numCache>
            </c:numRef>
          </c:xVal>
          <c:yVal>
            <c:numRef>
              <c:f>Transformer!$C$9:$R$9</c:f>
              <c:numCache>
                <c:formatCode>0.00</c:formatCode>
                <c:ptCount val="16"/>
                <c:pt idx="0">
                  <c:v>0.05489</c:v>
                </c:pt>
                <c:pt idx="1">
                  <c:v>0.06603</c:v>
                </c:pt>
                <c:pt idx="2">
                  <c:v>0.07743</c:v>
                </c:pt>
                <c:pt idx="3">
                  <c:v>0.08845</c:v>
                </c:pt>
                <c:pt idx="4">
                  <c:v>0.10001</c:v>
                </c:pt>
                <c:pt idx="5">
                  <c:v>0.11064</c:v>
                </c:pt>
                <c:pt idx="6">
                  <c:v>0.12247</c:v>
                </c:pt>
                <c:pt idx="7">
                  <c:v>0.13466</c:v>
                </c:pt>
                <c:pt idx="8">
                  <c:v>0.14715</c:v>
                </c:pt>
                <c:pt idx="9">
                  <c:v>0.15998</c:v>
                </c:pt>
                <c:pt idx="10">
                  <c:v>0.17326</c:v>
                </c:pt>
                <c:pt idx="11">
                  <c:v>0.18702</c:v>
                </c:pt>
                <c:pt idx="12">
                  <c:v>0.20141</c:v>
                </c:pt>
                <c:pt idx="13">
                  <c:v>0.21648</c:v>
                </c:pt>
                <c:pt idx="14">
                  <c:v>0.23207</c:v>
                </c:pt>
                <c:pt idx="15">
                  <c:v>0.24841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Transformer!$B$10</c:f>
              <c:strCache>
                <c:ptCount val="1"/>
                <c:pt idx="0">
                  <c:v>Secondary [V]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Transformer!$C$8:$R$8</c:f>
              <c:numCache>
                <c:formatCode>0.00</c:formatCode>
                <c:ptCount val="16"/>
                <c:pt idx="0">
                  <c:v>49.92</c:v>
                </c:pt>
                <c:pt idx="1">
                  <c:v>59.784</c:v>
                </c:pt>
                <c:pt idx="2">
                  <c:v>69.911</c:v>
                </c:pt>
                <c:pt idx="3">
                  <c:v>80</c:v>
                </c:pt>
                <c:pt idx="4">
                  <c:v>89.82</c:v>
                </c:pt>
                <c:pt idx="5">
                  <c:v>100</c:v>
                </c:pt>
                <c:pt idx="6">
                  <c:v>110.02</c:v>
                </c:pt>
                <c:pt idx="7">
                  <c:v>119.93</c:v>
                </c:pt>
                <c:pt idx="8">
                  <c:v>130.21</c:v>
                </c:pt>
                <c:pt idx="9">
                  <c:v>140.1</c:v>
                </c:pt>
                <c:pt idx="10">
                  <c:v>149.97</c:v>
                </c:pt>
                <c:pt idx="11">
                  <c:v>160.31</c:v>
                </c:pt>
                <c:pt idx="12">
                  <c:v>169.87</c:v>
                </c:pt>
                <c:pt idx="13">
                  <c:v>179.79</c:v>
                </c:pt>
                <c:pt idx="14">
                  <c:v>189.9</c:v>
                </c:pt>
                <c:pt idx="15">
                  <c:v>199.96</c:v>
                </c:pt>
              </c:numCache>
            </c:numRef>
          </c:xVal>
          <c:yVal>
            <c:numRef>
              <c:f>Transformer!$C$10:$R$10</c:f>
              <c:numCache>
                <c:formatCode>0.00</c:formatCode>
                <c:ptCount val="16"/>
                <c:pt idx="0">
                  <c:v>1.0255</c:v>
                </c:pt>
                <c:pt idx="1">
                  <c:v>1.2341</c:v>
                </c:pt>
                <c:pt idx="2">
                  <c:v>1.4458</c:v>
                </c:pt>
                <c:pt idx="3">
                  <c:v>1.6537</c:v>
                </c:pt>
                <c:pt idx="4">
                  <c:v>1.8705</c:v>
                </c:pt>
                <c:pt idx="5">
                  <c:v>2.0888</c:v>
                </c:pt>
                <c:pt idx="6">
                  <c:v>2.3152</c:v>
                </c:pt>
                <c:pt idx="7">
                  <c:v>2.5482</c:v>
                </c:pt>
                <c:pt idx="8">
                  <c:v>2.7857</c:v>
                </c:pt>
                <c:pt idx="9">
                  <c:v>3.0339</c:v>
                </c:pt>
                <c:pt idx="10">
                  <c:v>3.2879</c:v>
                </c:pt>
                <c:pt idx="11">
                  <c:v>3.551</c:v>
                </c:pt>
                <c:pt idx="12">
                  <c:v>3.8261</c:v>
                </c:pt>
                <c:pt idx="13">
                  <c:v>4.1135</c:v>
                </c:pt>
                <c:pt idx="14">
                  <c:v>4.417</c:v>
                </c:pt>
                <c:pt idx="15">
                  <c:v>4.73</c:v>
                </c:pt>
              </c:numCache>
            </c:numRef>
          </c:yVal>
          <c:smooth val="0"/>
        </c:ser>
        <c:axId val="3223321"/>
        <c:axId val="94971793"/>
      </c:scatterChart>
      <c:scatterChart>
        <c:scatterStyle val="line"/>
        <c:varyColors val="0"/>
        <c:ser>
          <c:idx val="2"/>
          <c:order val="2"/>
          <c:tx>
            <c:strRef>
              <c:f>Transformer!$B$11</c:f>
              <c:strCache>
                <c:ptCount val="1"/>
                <c:pt idx="0">
                  <c:v>Turns ratio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Transformer!$C$8:$R$8</c:f>
              <c:numCache>
                <c:formatCode>0.00</c:formatCode>
                <c:ptCount val="16"/>
                <c:pt idx="0">
                  <c:v>49.92</c:v>
                </c:pt>
                <c:pt idx="1">
                  <c:v>59.784</c:v>
                </c:pt>
                <c:pt idx="2">
                  <c:v>69.911</c:v>
                </c:pt>
                <c:pt idx="3">
                  <c:v>80</c:v>
                </c:pt>
                <c:pt idx="4">
                  <c:v>89.82</c:v>
                </c:pt>
                <c:pt idx="5">
                  <c:v>100</c:v>
                </c:pt>
                <c:pt idx="6">
                  <c:v>110.02</c:v>
                </c:pt>
                <c:pt idx="7">
                  <c:v>119.93</c:v>
                </c:pt>
                <c:pt idx="8">
                  <c:v>130.21</c:v>
                </c:pt>
                <c:pt idx="9">
                  <c:v>140.1</c:v>
                </c:pt>
                <c:pt idx="10">
                  <c:v>149.97</c:v>
                </c:pt>
                <c:pt idx="11">
                  <c:v>160.31</c:v>
                </c:pt>
                <c:pt idx="12">
                  <c:v>169.87</c:v>
                </c:pt>
                <c:pt idx="13">
                  <c:v>179.79</c:v>
                </c:pt>
                <c:pt idx="14">
                  <c:v>189.9</c:v>
                </c:pt>
                <c:pt idx="15">
                  <c:v>199.96</c:v>
                </c:pt>
              </c:numCache>
            </c:numRef>
          </c:xVal>
          <c:yVal>
            <c:numRef>
              <c:f>Transformer!$C$11:$R$11</c:f>
              <c:numCache>
                <c:formatCode>0.00</c:formatCode>
                <c:ptCount val="16"/>
                <c:pt idx="0">
                  <c:v>18.6828201858262</c:v>
                </c:pt>
                <c:pt idx="1">
                  <c:v>18.6899893987581</c:v>
                </c:pt>
                <c:pt idx="2">
                  <c:v>18.6723492186491</c:v>
                </c:pt>
                <c:pt idx="3">
                  <c:v>18.6964386659129</c:v>
                </c:pt>
                <c:pt idx="4">
                  <c:v>18.7031296870313</c:v>
                </c:pt>
                <c:pt idx="5">
                  <c:v>18.8792480115691</c:v>
                </c:pt>
                <c:pt idx="6">
                  <c:v>18.9042214419858</c:v>
                </c:pt>
                <c:pt idx="7">
                  <c:v>18.9232140204961</c:v>
                </c:pt>
                <c:pt idx="8">
                  <c:v>18.9310227658852</c:v>
                </c:pt>
                <c:pt idx="9">
                  <c:v>18.9642455306913</c:v>
                </c:pt>
                <c:pt idx="10">
                  <c:v>18.9766824425719</c:v>
                </c:pt>
                <c:pt idx="11">
                  <c:v>18.9872740883328</c:v>
                </c:pt>
                <c:pt idx="12">
                  <c:v>18.9965741522268</c:v>
                </c:pt>
                <c:pt idx="13">
                  <c:v>19.0017553584627</c:v>
                </c:pt>
                <c:pt idx="14">
                  <c:v>19.0330503727324</c:v>
                </c:pt>
                <c:pt idx="15">
                  <c:v>19.0411014049354</c:v>
                </c:pt>
              </c:numCache>
            </c:numRef>
          </c:yVal>
          <c:smooth val="0"/>
        </c:ser>
        <c:axId val="45152678"/>
        <c:axId val="69190651"/>
      </c:scatterChart>
      <c:valAx>
        <c:axId val="3223321"/>
        <c:scaling>
          <c:orientation val="minMax"/>
          <c:max val="200"/>
          <c:min val="50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lang="en-US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1" lang="en-US" sz="1000" spc="-1" strike="noStrike">
                    <a:solidFill>
                      <a:srgbClr val="595959"/>
                    </a:solidFill>
                    <a:latin typeface="Calibri"/>
                  </a:rPr>
                  <a:t>Frequency ([kHz]</a:t>
                </a:r>
              </a:p>
            </c:rich>
          </c:tx>
          <c:layout>
            <c:manualLayout>
              <c:xMode val="edge"/>
              <c:yMode val="edge"/>
              <c:x val="0.448034878502276"/>
              <c:y val="0.9290451626487"/>
            </c:manualLayout>
          </c:layout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4971793"/>
        <c:crosses val="autoZero"/>
        <c:crossBetween val="midCat"/>
        <c:majorUnit val="25"/>
      </c:valAx>
      <c:valAx>
        <c:axId val="94971793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n-US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1" lang="en-US" sz="1000" spc="-1" strike="noStrike">
                    <a:solidFill>
                      <a:srgbClr val="595959"/>
                    </a:solidFill>
                    <a:latin typeface="Calibri"/>
                  </a:rPr>
                  <a:t>Votlage [V]</a:t>
                </a:r>
              </a:p>
            </c:rich>
          </c:tx>
          <c:layout>
            <c:manualLayout>
              <c:xMode val="edge"/>
              <c:yMode val="edge"/>
              <c:x val="0.00859139578123998"/>
              <c:y val="0.340141067480787"/>
            </c:manualLayout>
          </c:layout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223321"/>
        <c:crosses val="autoZero"/>
        <c:crossBetween val="midCat"/>
      </c:valAx>
      <c:valAx>
        <c:axId val="45152678"/>
        <c:scaling>
          <c:orientation val="minMax"/>
        </c:scaling>
        <c:delete val="1"/>
        <c:axPos val="t"/>
        <c:numFmt formatCode="0.0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90651"/>
        <c:crossBetween val="midCat"/>
      </c:valAx>
      <c:valAx>
        <c:axId val="69190651"/>
        <c:scaling>
          <c:orientation val="minMax"/>
          <c:max val="21"/>
          <c:min val="17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lang="en-US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1" lang="en-US" sz="1000" spc="-1" strike="noStrike">
                    <a:solidFill>
                      <a:srgbClr val="595959"/>
                    </a:solidFill>
                    <a:latin typeface="Calibri"/>
                  </a:rPr>
                  <a:t>Turns ratio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5152678"/>
        <c:crosses val="max"/>
        <c:crossBetween val="midCat"/>
        <c:majorUnit val="0.5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825158684362377"/>
          <c:y val="0.558479839983156"/>
          <c:w val="0.101080370595967"/>
          <c:h val="0.27058328069067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trafo!$B$22:$B$22</c:f>
              <c:strCache>
                <c:ptCount val="1"/>
                <c:pt idx="0">
                  <c:v>Vpri (V)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trafo!$C$21:$R$21</c:f>
              <c:numCache>
                <c:formatCode>0.00</c:formatCode>
                <c:ptCount val="16"/>
                <c:pt idx="0">
                  <c:v>49.92</c:v>
                </c:pt>
                <c:pt idx="1">
                  <c:v>59.784</c:v>
                </c:pt>
                <c:pt idx="2">
                  <c:v>69.911</c:v>
                </c:pt>
                <c:pt idx="3">
                  <c:v>80</c:v>
                </c:pt>
                <c:pt idx="4">
                  <c:v>89.82</c:v>
                </c:pt>
                <c:pt idx="5">
                  <c:v>100</c:v>
                </c:pt>
                <c:pt idx="6">
                  <c:v>110.02</c:v>
                </c:pt>
                <c:pt idx="7">
                  <c:v>119.93</c:v>
                </c:pt>
                <c:pt idx="8">
                  <c:v>130.21</c:v>
                </c:pt>
                <c:pt idx="9">
                  <c:v>140.1</c:v>
                </c:pt>
                <c:pt idx="10">
                  <c:v>149.97</c:v>
                </c:pt>
                <c:pt idx="11">
                  <c:v>160.31</c:v>
                </c:pt>
                <c:pt idx="12">
                  <c:v>169.87</c:v>
                </c:pt>
                <c:pt idx="13">
                  <c:v>179.79</c:v>
                </c:pt>
                <c:pt idx="14">
                  <c:v>189.9</c:v>
                </c:pt>
                <c:pt idx="15">
                  <c:v>199.96</c:v>
                </c:pt>
              </c:numCache>
            </c:numRef>
          </c:xVal>
          <c:yVal>
            <c:numRef>
              <c:f>trafo!$C$22:$R$22</c:f>
              <c:numCache>
                <c:formatCode>0.00</c:formatCode>
                <c:ptCount val="16"/>
                <c:pt idx="0">
                  <c:v>0.05489</c:v>
                </c:pt>
                <c:pt idx="1">
                  <c:v>0.06603</c:v>
                </c:pt>
                <c:pt idx="2">
                  <c:v>0.07743</c:v>
                </c:pt>
                <c:pt idx="3">
                  <c:v>0.08845</c:v>
                </c:pt>
                <c:pt idx="4">
                  <c:v>0.10001</c:v>
                </c:pt>
                <c:pt idx="5">
                  <c:v>0.11064</c:v>
                </c:pt>
                <c:pt idx="6">
                  <c:v>0.12247</c:v>
                </c:pt>
                <c:pt idx="7">
                  <c:v>0.13466</c:v>
                </c:pt>
                <c:pt idx="8">
                  <c:v>0.14715</c:v>
                </c:pt>
                <c:pt idx="9">
                  <c:v>0.15998</c:v>
                </c:pt>
                <c:pt idx="10">
                  <c:v>0.17326</c:v>
                </c:pt>
                <c:pt idx="11">
                  <c:v>0.18702</c:v>
                </c:pt>
                <c:pt idx="12">
                  <c:v>0.20141</c:v>
                </c:pt>
                <c:pt idx="13">
                  <c:v>0.21648</c:v>
                </c:pt>
                <c:pt idx="14">
                  <c:v>0.23207</c:v>
                </c:pt>
                <c:pt idx="15">
                  <c:v>0.24841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trafo!$B$23:$B$23</c:f>
              <c:strCache>
                <c:ptCount val="1"/>
                <c:pt idx="0">
                  <c:v>Vsec (V)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trafo!$C$21:$R$21</c:f>
              <c:numCache>
                <c:formatCode>0.00</c:formatCode>
                <c:ptCount val="16"/>
                <c:pt idx="0">
                  <c:v>49.92</c:v>
                </c:pt>
                <c:pt idx="1">
                  <c:v>59.784</c:v>
                </c:pt>
                <c:pt idx="2">
                  <c:v>69.911</c:v>
                </c:pt>
                <c:pt idx="3">
                  <c:v>80</c:v>
                </c:pt>
                <c:pt idx="4">
                  <c:v>89.82</c:v>
                </c:pt>
                <c:pt idx="5">
                  <c:v>100</c:v>
                </c:pt>
                <c:pt idx="6">
                  <c:v>110.02</c:v>
                </c:pt>
                <c:pt idx="7">
                  <c:v>119.93</c:v>
                </c:pt>
                <c:pt idx="8">
                  <c:v>130.21</c:v>
                </c:pt>
                <c:pt idx="9">
                  <c:v>140.1</c:v>
                </c:pt>
                <c:pt idx="10">
                  <c:v>149.97</c:v>
                </c:pt>
                <c:pt idx="11">
                  <c:v>160.31</c:v>
                </c:pt>
                <c:pt idx="12">
                  <c:v>169.87</c:v>
                </c:pt>
                <c:pt idx="13">
                  <c:v>179.79</c:v>
                </c:pt>
                <c:pt idx="14">
                  <c:v>189.9</c:v>
                </c:pt>
                <c:pt idx="15">
                  <c:v>199.96</c:v>
                </c:pt>
              </c:numCache>
            </c:numRef>
          </c:xVal>
          <c:yVal>
            <c:numRef>
              <c:f>trafo!$C$23:$R$23</c:f>
              <c:numCache>
                <c:formatCode>0.00</c:formatCode>
                <c:ptCount val="16"/>
                <c:pt idx="0">
                  <c:v>1.0255</c:v>
                </c:pt>
                <c:pt idx="1">
                  <c:v>1.2341</c:v>
                </c:pt>
                <c:pt idx="2">
                  <c:v>1.4458</c:v>
                </c:pt>
                <c:pt idx="3">
                  <c:v>1.6537</c:v>
                </c:pt>
                <c:pt idx="4">
                  <c:v>1.8705</c:v>
                </c:pt>
                <c:pt idx="5">
                  <c:v>2.0888</c:v>
                </c:pt>
                <c:pt idx="6">
                  <c:v>2.3152</c:v>
                </c:pt>
                <c:pt idx="7">
                  <c:v>2.5482</c:v>
                </c:pt>
                <c:pt idx="8">
                  <c:v>2.7857</c:v>
                </c:pt>
                <c:pt idx="9">
                  <c:v>3.0339</c:v>
                </c:pt>
                <c:pt idx="10">
                  <c:v>3.2879</c:v>
                </c:pt>
                <c:pt idx="11">
                  <c:v>3.551</c:v>
                </c:pt>
                <c:pt idx="12">
                  <c:v>3.8261</c:v>
                </c:pt>
                <c:pt idx="13">
                  <c:v>4.1135</c:v>
                </c:pt>
                <c:pt idx="14">
                  <c:v>4.417</c:v>
                </c:pt>
                <c:pt idx="15">
                  <c:v>4.73</c:v>
                </c:pt>
              </c:numCache>
            </c:numRef>
          </c:yVal>
          <c:smooth val="0"/>
        </c:ser>
        <c:axId val="13127128"/>
        <c:axId val="86295455"/>
      </c:scatterChart>
      <c:scatterChart>
        <c:scatterStyle val="line"/>
        <c:varyColors val="0"/>
        <c:ser>
          <c:idx val="2"/>
          <c:order val="2"/>
          <c:tx>
            <c:strRef>
              <c:f>trafo!$B$24:$B$24</c:f>
              <c:strCache>
                <c:ptCount val="1"/>
                <c:pt idx="0">
                  <c:v>Ratio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trafo!$C$21:$R$21</c:f>
              <c:numCache>
                <c:formatCode>0.00</c:formatCode>
                <c:ptCount val="16"/>
                <c:pt idx="0">
                  <c:v>49.92</c:v>
                </c:pt>
                <c:pt idx="1">
                  <c:v>59.784</c:v>
                </c:pt>
                <c:pt idx="2">
                  <c:v>69.911</c:v>
                </c:pt>
                <c:pt idx="3">
                  <c:v>80</c:v>
                </c:pt>
                <c:pt idx="4">
                  <c:v>89.82</c:v>
                </c:pt>
                <c:pt idx="5">
                  <c:v>100</c:v>
                </c:pt>
                <c:pt idx="6">
                  <c:v>110.02</c:v>
                </c:pt>
                <c:pt idx="7">
                  <c:v>119.93</c:v>
                </c:pt>
                <c:pt idx="8">
                  <c:v>130.21</c:v>
                </c:pt>
                <c:pt idx="9">
                  <c:v>140.1</c:v>
                </c:pt>
                <c:pt idx="10">
                  <c:v>149.97</c:v>
                </c:pt>
                <c:pt idx="11">
                  <c:v>160.31</c:v>
                </c:pt>
                <c:pt idx="12">
                  <c:v>169.87</c:v>
                </c:pt>
                <c:pt idx="13">
                  <c:v>179.79</c:v>
                </c:pt>
                <c:pt idx="14">
                  <c:v>189.9</c:v>
                </c:pt>
                <c:pt idx="15">
                  <c:v>199.96</c:v>
                </c:pt>
              </c:numCache>
            </c:numRef>
          </c:xVal>
          <c:yVal>
            <c:numRef>
              <c:f>trafo!$C$24:$R$24</c:f>
              <c:numCache>
                <c:formatCode>0.00</c:formatCode>
                <c:ptCount val="16"/>
                <c:pt idx="0">
                  <c:v>18.6828201858262</c:v>
                </c:pt>
                <c:pt idx="1">
                  <c:v>18.6899893987581</c:v>
                </c:pt>
                <c:pt idx="2">
                  <c:v>18.6723492186491</c:v>
                </c:pt>
                <c:pt idx="3">
                  <c:v>18.6964386659129</c:v>
                </c:pt>
                <c:pt idx="4">
                  <c:v>18.7031296870313</c:v>
                </c:pt>
                <c:pt idx="5">
                  <c:v>18.8792480115691</c:v>
                </c:pt>
                <c:pt idx="6">
                  <c:v>18.9042214419858</c:v>
                </c:pt>
                <c:pt idx="7">
                  <c:v>18.9232140204961</c:v>
                </c:pt>
                <c:pt idx="8">
                  <c:v>18.9310227658852</c:v>
                </c:pt>
                <c:pt idx="9">
                  <c:v>18.9642455306913</c:v>
                </c:pt>
                <c:pt idx="10">
                  <c:v>18.9766824425719</c:v>
                </c:pt>
                <c:pt idx="11">
                  <c:v>18.9872740883328</c:v>
                </c:pt>
                <c:pt idx="12">
                  <c:v>18.9965741522268</c:v>
                </c:pt>
                <c:pt idx="13">
                  <c:v>19.0017553584627</c:v>
                </c:pt>
                <c:pt idx="14">
                  <c:v>19.0330503727324</c:v>
                </c:pt>
                <c:pt idx="15">
                  <c:v>19.0411014049354</c:v>
                </c:pt>
              </c:numCache>
            </c:numRef>
          </c:yVal>
          <c:smooth val="0"/>
        </c:ser>
        <c:axId val="70520323"/>
        <c:axId val="72165240"/>
      </c:scatterChart>
      <c:valAx>
        <c:axId val="13127128"/>
        <c:scaling>
          <c:orientation val="minMax"/>
          <c:max val="200"/>
          <c:min val="50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6295455"/>
        <c:crosses val="autoZero"/>
        <c:crossBetween val="midCat"/>
        <c:majorUnit val="25"/>
      </c:valAx>
      <c:valAx>
        <c:axId val="862954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3127128"/>
        <c:crosses val="autoZero"/>
        <c:crossBetween val="midCat"/>
      </c:valAx>
      <c:valAx>
        <c:axId val="70520323"/>
        <c:scaling>
          <c:orientation val="minMax"/>
        </c:scaling>
        <c:delete val="1"/>
        <c:axPos val="t"/>
        <c:numFmt formatCode="0.0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65240"/>
        <c:crossBetween val="midCat"/>
      </c:valAx>
      <c:valAx>
        <c:axId val="72165240"/>
        <c:scaling>
          <c:orientation val="minMax"/>
          <c:min val="0"/>
        </c:scaling>
        <c:delete val="0"/>
        <c:axPos val="r"/>
        <c:numFmt formatCode="0.00" sourceLinked="0"/>
        <c:majorTickMark val="out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0520323"/>
        <c:crosses val="max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vout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Sheet3!$I$2:$I$2</c:f>
              <c:strCache>
                <c:ptCount val="1"/>
                <c:pt idx="0">
                  <c:v>vout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Sheet3!$F$3:$F$13</c:f>
              <c:numCache>
                <c:formatCode>0.0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</c:numCache>
            </c:numRef>
          </c:xVal>
          <c:yVal>
            <c:numRef>
              <c:f>Sheet3!$I$3:$I$13</c:f>
              <c:numCache>
                <c:formatCode>0.0</c:formatCode>
                <c:ptCount val="11"/>
                <c:pt idx="0">
                  <c:v>547.954545454545</c:v>
                </c:pt>
                <c:pt idx="1">
                  <c:v>446.98557994891</c:v>
                </c:pt>
                <c:pt idx="2">
                  <c:v>377.617106988945</c:v>
                </c:pt>
                <c:pt idx="3">
                  <c:v>327.021372829638</c:v>
                </c:pt>
                <c:pt idx="4">
                  <c:v>288.486109789744</c:v>
                </c:pt>
                <c:pt idx="5">
                  <c:v>258.158272234619</c:v>
                </c:pt>
                <c:pt idx="6">
                  <c:v>233.668132754581</c:v>
                </c:pt>
                <c:pt idx="7">
                  <c:v>213.478152320549</c:v>
                </c:pt>
                <c:pt idx="8">
                  <c:v>196.547158871279</c:v>
                </c:pt>
                <c:pt idx="9">
                  <c:v>182.145002160986</c:v>
                </c:pt>
                <c:pt idx="10">
                  <c:v>169.744487588407</c:v>
                </c:pt>
              </c:numCache>
            </c:numRef>
          </c:yVal>
          <c:smooth val="0"/>
        </c:ser>
        <c:axId val="80840447"/>
        <c:axId val="29326816"/>
      </c:scatterChart>
      <c:valAx>
        <c:axId val="80840447"/>
        <c:scaling>
          <c:orientation val="minMax"/>
          <c:max val="5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9326816"/>
        <c:crosses val="autoZero"/>
        <c:crossBetween val="midCat"/>
      </c:valAx>
      <c:valAx>
        <c:axId val="29326816"/>
        <c:scaling>
          <c:orientation val="minMax"/>
          <c:max val="550"/>
          <c:min val="1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084044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chart" Target="../charts/chart4.xml"/><Relationship Id="rId3" Type="http://schemas.openxmlformats.org/officeDocument/2006/relationships/image" Target="../media/image8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image" Target="../media/image9.png"/><Relationship Id="rId3" Type="http://schemas.openxmlformats.org/officeDocument/2006/relationships/image" Target="../media/image10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9.png"/><Relationship Id="rId4" Type="http://schemas.openxmlformats.org/officeDocument/2006/relationships/image" Target="../media/image10.png"/><Relationship Id="rId5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27</xdr:col>
      <xdr:colOff>542880</xdr:colOff>
      <xdr:row>78</xdr:row>
      <xdr:rowOff>95400</xdr:rowOff>
    </xdr:from>
    <xdr:to>
      <xdr:col>38</xdr:col>
      <xdr:colOff>305280</xdr:colOff>
      <xdr:row>85</xdr:row>
      <xdr:rowOff>38160</xdr:rowOff>
    </xdr:to>
    <xdr:pic>
      <xdr:nvPicPr>
        <xdr:cNvPr id="0" name="Picture 18" descr=""/>
        <xdr:cNvPicPr/>
      </xdr:nvPicPr>
      <xdr:blipFill>
        <a:blip r:embed="rId1"/>
        <a:stretch/>
      </xdr:blipFill>
      <xdr:spPr>
        <a:xfrm>
          <a:off x="13082760" y="15487920"/>
          <a:ext cx="6849000" cy="127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28</xdr:col>
      <xdr:colOff>66600</xdr:colOff>
      <xdr:row>60</xdr:row>
      <xdr:rowOff>47520</xdr:rowOff>
    </xdr:from>
    <xdr:to>
      <xdr:col>37</xdr:col>
      <xdr:colOff>19440</xdr:colOff>
      <xdr:row>65</xdr:row>
      <xdr:rowOff>161640</xdr:rowOff>
    </xdr:to>
    <xdr:pic>
      <xdr:nvPicPr>
        <xdr:cNvPr id="1" name="Picture 19" descr=""/>
        <xdr:cNvPicPr/>
      </xdr:nvPicPr>
      <xdr:blipFill>
        <a:blip r:embed="rId2"/>
        <a:stretch/>
      </xdr:blipFill>
      <xdr:spPr>
        <a:xfrm>
          <a:off x="13218120" y="12011040"/>
          <a:ext cx="5783400" cy="1066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27</xdr:col>
      <xdr:colOff>409680</xdr:colOff>
      <xdr:row>69</xdr:row>
      <xdr:rowOff>47520</xdr:rowOff>
    </xdr:from>
    <xdr:to>
      <xdr:col>41</xdr:col>
      <xdr:colOff>429480</xdr:colOff>
      <xdr:row>76</xdr:row>
      <xdr:rowOff>171360</xdr:rowOff>
    </xdr:to>
    <xdr:pic>
      <xdr:nvPicPr>
        <xdr:cNvPr id="2" name="Picture 20" descr=""/>
        <xdr:cNvPicPr/>
      </xdr:nvPicPr>
      <xdr:blipFill>
        <a:blip r:embed="rId3"/>
        <a:stretch/>
      </xdr:blipFill>
      <xdr:spPr>
        <a:xfrm>
          <a:off x="12949560" y="13725360"/>
          <a:ext cx="9039960" cy="145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27</xdr:col>
      <xdr:colOff>428760</xdr:colOff>
      <xdr:row>89</xdr:row>
      <xdr:rowOff>28440</xdr:rowOff>
    </xdr:from>
    <xdr:to>
      <xdr:col>37</xdr:col>
      <xdr:colOff>581760</xdr:colOff>
      <xdr:row>95</xdr:row>
      <xdr:rowOff>123480</xdr:rowOff>
    </xdr:to>
    <xdr:pic>
      <xdr:nvPicPr>
        <xdr:cNvPr id="3" name="Picture 21" descr=""/>
        <xdr:cNvPicPr/>
      </xdr:nvPicPr>
      <xdr:blipFill>
        <a:blip r:embed="rId4"/>
        <a:stretch/>
      </xdr:blipFill>
      <xdr:spPr>
        <a:xfrm>
          <a:off x="12968640" y="17516520"/>
          <a:ext cx="6595200" cy="1238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27</xdr:col>
      <xdr:colOff>581040</xdr:colOff>
      <xdr:row>48</xdr:row>
      <xdr:rowOff>133200</xdr:rowOff>
    </xdr:from>
    <xdr:to>
      <xdr:col>41</xdr:col>
      <xdr:colOff>10440</xdr:colOff>
      <xdr:row>58</xdr:row>
      <xdr:rowOff>151920</xdr:rowOff>
    </xdr:to>
    <xdr:pic>
      <xdr:nvPicPr>
        <xdr:cNvPr id="4" name="Picture 22" descr=""/>
        <xdr:cNvPicPr/>
      </xdr:nvPicPr>
      <xdr:blipFill>
        <a:blip r:embed="rId5"/>
        <a:stretch/>
      </xdr:blipFill>
      <xdr:spPr>
        <a:xfrm>
          <a:off x="13120920" y="9810720"/>
          <a:ext cx="8449560" cy="1923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27</xdr:col>
      <xdr:colOff>476280</xdr:colOff>
      <xdr:row>99</xdr:row>
      <xdr:rowOff>19080</xdr:rowOff>
    </xdr:from>
    <xdr:to>
      <xdr:col>33</xdr:col>
      <xdr:colOff>562320</xdr:colOff>
      <xdr:row>108</xdr:row>
      <xdr:rowOff>181080</xdr:rowOff>
    </xdr:to>
    <xdr:pic>
      <xdr:nvPicPr>
        <xdr:cNvPr id="5" name="Picture 23" descr=""/>
        <xdr:cNvPicPr/>
      </xdr:nvPicPr>
      <xdr:blipFill>
        <a:blip r:embed="rId6"/>
        <a:stretch/>
      </xdr:blipFill>
      <xdr:spPr>
        <a:xfrm>
          <a:off x="13016160" y="19411920"/>
          <a:ext cx="3950280" cy="1876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36</xdr:col>
      <xdr:colOff>599760</xdr:colOff>
      <xdr:row>17</xdr:row>
      <xdr:rowOff>75960</xdr:rowOff>
    </xdr:to>
    <xdr:graphicFrame>
      <xdr:nvGraphicFramePr>
        <xdr:cNvPr id="6" name="Chart 1"/>
        <xdr:cNvGraphicFramePr/>
      </xdr:nvGraphicFramePr>
      <xdr:xfrm>
        <a:off x="13151520" y="1104840"/>
        <a:ext cx="578592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28</xdr:col>
      <xdr:colOff>0</xdr:colOff>
      <xdr:row>18</xdr:row>
      <xdr:rowOff>0</xdr:rowOff>
    </xdr:from>
    <xdr:to>
      <xdr:col>36</xdr:col>
      <xdr:colOff>599760</xdr:colOff>
      <xdr:row>32</xdr:row>
      <xdr:rowOff>75960</xdr:rowOff>
    </xdr:to>
    <xdr:graphicFrame>
      <xdr:nvGraphicFramePr>
        <xdr:cNvPr id="7" name="Chart 2"/>
        <xdr:cNvGraphicFramePr/>
      </xdr:nvGraphicFramePr>
      <xdr:xfrm>
        <a:off x="13151520" y="3962520"/>
        <a:ext cx="578592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0</xdr:colOff>
      <xdr:row>33</xdr:row>
      <xdr:rowOff>0</xdr:rowOff>
    </xdr:from>
    <xdr:to>
      <xdr:col>36</xdr:col>
      <xdr:colOff>561600</xdr:colOff>
      <xdr:row>47</xdr:row>
      <xdr:rowOff>75960</xdr:rowOff>
    </xdr:to>
    <xdr:graphicFrame>
      <xdr:nvGraphicFramePr>
        <xdr:cNvPr id="8" name="Chart 3"/>
        <xdr:cNvGraphicFramePr/>
      </xdr:nvGraphicFramePr>
      <xdr:xfrm>
        <a:off x="13151520" y="6819840"/>
        <a:ext cx="574776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162000</xdr:colOff>
      <xdr:row>62</xdr:row>
      <xdr:rowOff>28440</xdr:rowOff>
    </xdr:from>
    <xdr:to>
      <xdr:col>14</xdr:col>
      <xdr:colOff>172080</xdr:colOff>
      <xdr:row>86</xdr:row>
      <xdr:rowOff>76320</xdr:rowOff>
    </xdr:to>
    <xdr:pic>
      <xdr:nvPicPr>
        <xdr:cNvPr id="9" name="Picture 1" descr=""/>
        <xdr:cNvPicPr/>
      </xdr:nvPicPr>
      <xdr:blipFill>
        <a:blip r:embed="rId1"/>
        <a:stretch/>
      </xdr:blipFill>
      <xdr:spPr>
        <a:xfrm>
          <a:off x="162000" y="11839320"/>
          <a:ext cx="7987680" cy="4619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214200</xdr:colOff>
      <xdr:row>4</xdr:row>
      <xdr:rowOff>90360</xdr:rowOff>
    </xdr:from>
    <xdr:to>
      <xdr:col>21</xdr:col>
      <xdr:colOff>218520</xdr:colOff>
      <xdr:row>31</xdr:row>
      <xdr:rowOff>180360</xdr:rowOff>
    </xdr:to>
    <xdr:graphicFrame>
      <xdr:nvGraphicFramePr>
        <xdr:cNvPr id="10" name="Chart 2"/>
        <xdr:cNvGraphicFramePr/>
      </xdr:nvGraphicFramePr>
      <xdr:xfrm>
        <a:off x="4275720" y="852480"/>
        <a:ext cx="8120880" cy="523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266760</xdr:colOff>
      <xdr:row>62</xdr:row>
      <xdr:rowOff>38160</xdr:rowOff>
    </xdr:from>
    <xdr:to>
      <xdr:col>29</xdr:col>
      <xdr:colOff>506160</xdr:colOff>
      <xdr:row>84</xdr:row>
      <xdr:rowOff>178200</xdr:rowOff>
    </xdr:to>
    <xdr:pic>
      <xdr:nvPicPr>
        <xdr:cNvPr id="11" name="Picture 5" descr=""/>
        <xdr:cNvPicPr/>
      </xdr:nvPicPr>
      <xdr:blipFill>
        <a:blip r:embed="rId3"/>
        <a:stretch/>
      </xdr:blipFill>
      <xdr:spPr>
        <a:xfrm>
          <a:off x="8667000" y="11849040"/>
          <a:ext cx="8909280" cy="4331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0</xdr:rowOff>
    </xdr:from>
    <xdr:to>
      <xdr:col>15</xdr:col>
      <xdr:colOff>352080</xdr:colOff>
      <xdr:row>29</xdr:row>
      <xdr:rowOff>180720</xdr:rowOff>
    </xdr:to>
    <xdr:graphicFrame>
      <xdr:nvGraphicFramePr>
        <xdr:cNvPr id="12" name="Chart 4"/>
        <xdr:cNvGraphicFramePr/>
      </xdr:nvGraphicFramePr>
      <xdr:xfrm>
        <a:off x="611640" y="2286000"/>
        <a:ext cx="11229480" cy="34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390600</xdr:colOff>
      <xdr:row>32</xdr:row>
      <xdr:rowOff>47520</xdr:rowOff>
    </xdr:from>
    <xdr:to>
      <xdr:col>5</xdr:col>
      <xdr:colOff>183240</xdr:colOff>
      <xdr:row>35</xdr:row>
      <xdr:rowOff>93960</xdr:rowOff>
    </xdr:to>
    <xdr:pic>
      <xdr:nvPicPr>
        <xdr:cNvPr id="13" name="Picture 6" descr=""/>
        <xdr:cNvPicPr/>
      </xdr:nvPicPr>
      <xdr:blipFill>
        <a:blip r:embed="rId2"/>
        <a:stretch/>
      </xdr:blipFill>
      <xdr:spPr>
        <a:xfrm>
          <a:off x="3690720" y="6143400"/>
          <a:ext cx="1866600" cy="61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19080</xdr:colOff>
      <xdr:row>32</xdr:row>
      <xdr:rowOff>47520</xdr:rowOff>
    </xdr:from>
    <xdr:to>
      <xdr:col>2</xdr:col>
      <xdr:colOff>675720</xdr:colOff>
      <xdr:row>35</xdr:row>
      <xdr:rowOff>180360</xdr:rowOff>
    </xdr:to>
    <xdr:pic>
      <xdr:nvPicPr>
        <xdr:cNvPr id="14" name="Picture 7" descr=""/>
        <xdr:cNvPicPr/>
      </xdr:nvPicPr>
      <xdr:blipFill>
        <a:blip r:embed="rId3"/>
        <a:srcRect l="0" t="0" r="0" b="11926"/>
        <a:stretch/>
      </xdr:blipFill>
      <xdr:spPr>
        <a:xfrm>
          <a:off x="630720" y="6143400"/>
          <a:ext cx="2428920" cy="704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76320</xdr:colOff>
      <xdr:row>3</xdr:row>
      <xdr:rowOff>19080</xdr:rowOff>
    </xdr:from>
    <xdr:to>
      <xdr:col>10</xdr:col>
      <xdr:colOff>533520</xdr:colOff>
      <xdr:row>6</xdr:row>
      <xdr:rowOff>171360</xdr:rowOff>
    </xdr:to>
    <xdr:pic>
      <xdr:nvPicPr>
        <xdr:cNvPr id="15" name="Picture 1" descr=""/>
        <xdr:cNvPicPr/>
      </xdr:nvPicPr>
      <xdr:blipFill>
        <a:blip r:embed="rId1"/>
        <a:stretch/>
      </xdr:blipFill>
      <xdr:spPr>
        <a:xfrm>
          <a:off x="4419720" y="590760"/>
          <a:ext cx="2291760" cy="723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7</xdr:row>
      <xdr:rowOff>19080</xdr:rowOff>
    </xdr:from>
    <xdr:to>
      <xdr:col>10</xdr:col>
      <xdr:colOff>349200</xdr:colOff>
      <xdr:row>11</xdr:row>
      <xdr:rowOff>37800</xdr:rowOff>
    </xdr:to>
    <xdr:pic>
      <xdr:nvPicPr>
        <xdr:cNvPr id="16" name="Picture 2" descr=""/>
        <xdr:cNvPicPr/>
      </xdr:nvPicPr>
      <xdr:blipFill>
        <a:blip r:embed="rId2"/>
        <a:stretch/>
      </xdr:blipFill>
      <xdr:spPr>
        <a:xfrm>
          <a:off x="4438800" y="1352520"/>
          <a:ext cx="2088360" cy="780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12</xdr:col>
      <xdr:colOff>28440</xdr:colOff>
      <xdr:row>3</xdr:row>
      <xdr:rowOff>-360</xdr:rowOff>
    </xdr:from>
    <xdr:to>
      <xdr:col>15</xdr:col>
      <xdr:colOff>66240</xdr:colOff>
      <xdr:row>6</xdr:row>
      <xdr:rowOff>46440</xdr:rowOff>
    </xdr:to>
    <xdr:pic>
      <xdr:nvPicPr>
        <xdr:cNvPr id="17" name="Picture 3" descr=""/>
        <xdr:cNvPicPr/>
      </xdr:nvPicPr>
      <xdr:blipFill>
        <a:blip r:embed="rId3"/>
        <a:stretch/>
      </xdr:blipFill>
      <xdr:spPr>
        <a:xfrm>
          <a:off x="7429320" y="571320"/>
          <a:ext cx="1872360" cy="61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12</xdr:col>
      <xdr:colOff>47520</xdr:colOff>
      <xdr:row>7</xdr:row>
      <xdr:rowOff>0</xdr:rowOff>
    </xdr:from>
    <xdr:to>
      <xdr:col>16</xdr:col>
      <xdr:colOff>37800</xdr:colOff>
      <xdr:row>10</xdr:row>
      <xdr:rowOff>132840</xdr:rowOff>
    </xdr:to>
    <xdr:pic>
      <xdr:nvPicPr>
        <xdr:cNvPr id="18" name="Picture 4" descr=""/>
        <xdr:cNvPicPr/>
      </xdr:nvPicPr>
      <xdr:blipFill>
        <a:blip r:embed="rId4"/>
        <a:srcRect l="0" t="0" r="0" b="11926"/>
        <a:stretch/>
      </xdr:blipFill>
      <xdr:spPr>
        <a:xfrm>
          <a:off x="7448400" y="1333440"/>
          <a:ext cx="243648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266760</xdr:colOff>
      <xdr:row>24</xdr:row>
      <xdr:rowOff>128520</xdr:rowOff>
    </xdr:from>
    <xdr:to>
      <xdr:col>8</xdr:col>
      <xdr:colOff>542520</xdr:colOff>
      <xdr:row>39</xdr:row>
      <xdr:rowOff>14040</xdr:rowOff>
    </xdr:to>
    <xdr:graphicFrame>
      <xdr:nvGraphicFramePr>
        <xdr:cNvPr id="19" name="Chart 5"/>
        <xdr:cNvGraphicFramePr/>
      </xdr:nvGraphicFramePr>
      <xdr:xfrm>
        <a:off x="878400" y="4700520"/>
        <a:ext cx="461916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</xdr:row>
      <xdr:rowOff>0</xdr:rowOff>
    </xdr:from>
    <xdr:to>
      <xdr:col>18</xdr:col>
      <xdr:colOff>333000</xdr:colOff>
      <xdr:row>15</xdr:row>
      <xdr:rowOff>75960</xdr:rowOff>
    </xdr:to>
    <xdr:graphicFrame>
      <xdr:nvGraphicFramePr>
        <xdr:cNvPr id="20" name="Chart 2"/>
        <xdr:cNvGraphicFramePr/>
      </xdr:nvGraphicFramePr>
      <xdr:xfrm>
        <a:off x="6173640" y="190440"/>
        <a:ext cx="522504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AF17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W144" activeCellId="0" sqref="AW144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8.86"/>
    <col collapsed="false" customWidth="true" hidden="false" outlineLevel="0" max="3" min="3" style="1" width="9.57"/>
    <col collapsed="false" customWidth="true" hidden="false" outlineLevel="0" max="4" min="4" style="1" width="4.42"/>
    <col collapsed="false" customWidth="true" hidden="false" outlineLevel="0" max="5" min="5" style="3" width="6.14"/>
    <col collapsed="false" customWidth="true" hidden="false" outlineLevel="0" max="6" min="6" style="1" width="5.71"/>
    <col collapsed="false" customWidth="true" hidden="false" outlineLevel="0" max="7" min="7" style="1" width="8"/>
    <col collapsed="false" customWidth="true" hidden="false" outlineLevel="0" max="8" min="8" style="1" width="7.15"/>
    <col collapsed="false" customWidth="true" hidden="false" outlineLevel="0" max="9" min="9" style="1" width="6.57"/>
    <col collapsed="false" customWidth="true" hidden="false" outlineLevel="0" max="10" min="10" style="1" width="8"/>
    <col collapsed="false" customWidth="true" hidden="false" outlineLevel="0" max="11" min="11" style="0" width="7"/>
    <col collapsed="false" customWidth="true" hidden="false" outlineLevel="0" max="12" min="12" style="4" width="9.57"/>
    <col collapsed="false" customWidth="true" hidden="false" outlineLevel="0" max="13" min="13" style="1" width="7.15"/>
    <col collapsed="false" customWidth="true" hidden="false" outlineLevel="0" max="14" min="14" style="1" width="7"/>
    <col collapsed="false" customWidth="true" hidden="false" outlineLevel="0" max="15" min="15" style="5" width="6.43"/>
    <col collapsed="false" customWidth="true" hidden="false" outlineLevel="0" max="18" min="16" style="1" width="8.71"/>
    <col collapsed="false" customWidth="true" hidden="false" outlineLevel="0" max="19" min="19" style="0" width="8.71"/>
    <col collapsed="false" customWidth="true" hidden="false" outlineLevel="0" max="20" min="20" style="4" width="8.29"/>
    <col collapsed="false" customWidth="true" hidden="false" outlineLevel="0" max="21" min="21" style="0" width="6.14"/>
    <col collapsed="false" customWidth="true" hidden="false" outlineLevel="0" max="22" min="22" style="0" width="8.71"/>
    <col collapsed="false" customWidth="true" hidden="false" outlineLevel="0" max="23" min="23" style="0" width="8.68"/>
    <col collapsed="false" customWidth="true" hidden="false" outlineLevel="0" max="25" min="24" style="0" width="1.57"/>
    <col collapsed="false" customWidth="true" hidden="false" outlineLevel="0" max="26" min="26" style="6" width="1.57"/>
    <col collapsed="false" customWidth="true" hidden="false" outlineLevel="0" max="27" min="27" style="0" width="1.57"/>
    <col collapsed="false" customWidth="true" hidden="false" outlineLevel="0" max="28" min="28" style="0" width="8.68"/>
    <col collapsed="false" customWidth="false" hidden="false" outlineLevel="0" max="29" min="29" style="1" width="9.14"/>
    <col collapsed="false" customWidth="true" hidden="false" outlineLevel="0" max="30" min="30" style="1" width="9.57"/>
    <col collapsed="false" customWidth="false" hidden="false" outlineLevel="0" max="16384" min="31" style="1" width="9.14"/>
  </cols>
  <sheetData>
    <row r="3" s="7" customFormat="true" ht="57" hidden="false" customHeight="true" outlineLevel="0" collapsed="false">
      <c r="B3" s="8" t="s">
        <v>0</v>
      </c>
      <c r="C3" s="8"/>
      <c r="D3" s="9"/>
      <c r="E3" s="9" t="s">
        <v>1</v>
      </c>
      <c r="F3" s="9" t="s">
        <v>2</v>
      </c>
      <c r="G3" s="9" t="s">
        <v>3</v>
      </c>
      <c r="H3" s="9" t="s">
        <v>4</v>
      </c>
      <c r="I3" s="9" t="s">
        <v>5</v>
      </c>
      <c r="J3" s="9" t="s">
        <v>6</v>
      </c>
      <c r="K3" s="9" t="s">
        <v>7</v>
      </c>
      <c r="L3" s="10" t="s">
        <v>8</v>
      </c>
      <c r="M3" s="9" t="s">
        <v>9</v>
      </c>
      <c r="N3" s="9" t="s">
        <v>10</v>
      </c>
      <c r="O3" s="11" t="s">
        <v>11</v>
      </c>
      <c r="P3" s="9" t="s">
        <v>12</v>
      </c>
      <c r="Q3" s="9" t="s">
        <v>13</v>
      </c>
      <c r="R3" s="9" t="s">
        <v>14</v>
      </c>
      <c r="S3" s="9" t="s">
        <v>15</v>
      </c>
      <c r="T3" s="10" t="s">
        <v>16</v>
      </c>
      <c r="U3" s="9" t="s">
        <v>17</v>
      </c>
      <c r="V3" s="9" t="s">
        <v>18</v>
      </c>
      <c r="W3" s="9" t="s">
        <v>19</v>
      </c>
      <c r="X3" s="9"/>
      <c r="Y3" s="9"/>
      <c r="Z3" s="12"/>
      <c r="AA3" s="9"/>
      <c r="AB3" s="9"/>
      <c r="AC3" s="9"/>
      <c r="AD3" s="9"/>
      <c r="AE3" s="9"/>
      <c r="AF3" s="9"/>
    </row>
    <row r="4" s="1" customFormat="true" ht="15" hidden="false" customHeight="false" outlineLevel="0" collapsed="false">
      <c r="B4" s="13" t="s">
        <v>20</v>
      </c>
      <c r="C4" s="14" t="n">
        <f aca="false">3.54*0.000001</f>
        <v>3.54E-006</v>
      </c>
      <c r="D4" s="15"/>
      <c r="E4" s="3" t="n">
        <v>2</v>
      </c>
      <c r="F4" s="15" t="n">
        <v>10</v>
      </c>
      <c r="G4" s="15" t="n">
        <v>5</v>
      </c>
      <c r="H4" s="15" t="n">
        <v>5</v>
      </c>
      <c r="I4" s="15" t="n">
        <v>100</v>
      </c>
      <c r="J4" s="15" t="n">
        <f aca="false">I4^2/H4</f>
        <v>2000</v>
      </c>
      <c r="K4" s="5" t="n">
        <f aca="false">H4/eff</f>
        <v>6.66666666666667</v>
      </c>
      <c r="L4" s="4" t="n">
        <f aca="false">F4^2*Dmax^2/(2*fs*H4)</f>
        <v>4.05E-005</v>
      </c>
      <c r="M4" s="1" t="n">
        <f aca="false">SQRT(2*fs*Lp*H4)/F4</f>
        <v>0.133041346956501</v>
      </c>
      <c r="N4" s="1" t="n">
        <f aca="false">F4*M4/(I4*(1-M4))</f>
        <v>0.0153457545512064</v>
      </c>
      <c r="O4" s="5" t="n">
        <f aca="false">SQRT(2*H4/(fs*Lp))</f>
        <v>7.51646028002829</v>
      </c>
      <c r="P4" s="1" t="n">
        <f aca="false">H4/(F4*eff)</f>
        <v>0.666666666666667</v>
      </c>
      <c r="Q4" s="1" t="n">
        <f aca="false">O4*SQRT(M4/3)</f>
        <v>1.58287294499888</v>
      </c>
      <c r="R4" s="1" t="n">
        <f aca="false">H4/I4</f>
        <v>0.05</v>
      </c>
      <c r="S4" s="1" t="n">
        <f aca="false">SQRT(2*R4*n*O4/3)</f>
        <v>0.112284354489301</v>
      </c>
      <c r="T4" s="4" t="n">
        <f aca="false">0.5*Lp*O4^2</f>
        <v>0.0001</v>
      </c>
      <c r="U4" s="1" t="n">
        <f aca="false">F4*M4/(n*I4)</f>
        <v>0.264387094423205</v>
      </c>
      <c r="V4" s="4" t="n">
        <f aca="false">(n*O4-R4)*U4/(fs*n*O4)</f>
        <v>4.58873653148865E-006</v>
      </c>
      <c r="W4" s="4" t="n">
        <f aca="false">(n*O4-R4)*V4/(2*Cout)</f>
        <v>0.0753088039501181</v>
      </c>
      <c r="X4" s="4"/>
      <c r="Y4" s="4"/>
      <c r="Z4" s="4"/>
    </row>
    <row r="5" s="1" customFormat="true" ht="15" hidden="false" customHeight="false" outlineLevel="0" collapsed="false">
      <c r="B5" s="16" t="s">
        <v>21</v>
      </c>
      <c r="C5" s="17" t="n">
        <f aca="false">1453*0.000001</f>
        <v>0.001453</v>
      </c>
      <c r="D5" s="15"/>
      <c r="E5" s="3" t="n">
        <v>3</v>
      </c>
      <c r="F5" s="15" t="n">
        <v>12</v>
      </c>
      <c r="G5" s="15" t="n">
        <v>5</v>
      </c>
      <c r="H5" s="15" t="n">
        <v>5</v>
      </c>
      <c r="I5" s="15" t="n">
        <v>100</v>
      </c>
      <c r="J5" s="15" t="n">
        <f aca="false">I5^2/H5</f>
        <v>2000</v>
      </c>
      <c r="K5" s="5" t="n">
        <f aca="false">H5/eff</f>
        <v>6.66666666666667</v>
      </c>
      <c r="L5" s="4" t="n">
        <f aca="false">F5^2*Dmax^2/(2*fs*H5)</f>
        <v>5.832E-005</v>
      </c>
      <c r="M5" s="1" t="n">
        <f aca="false">SQRT(2*fs*Lp*H5)/F5</f>
        <v>0.110867789130417</v>
      </c>
      <c r="N5" s="1" t="n">
        <f aca="false">F5*M5/(I5*(1-M5))</f>
        <v>0.0149630555872433</v>
      </c>
      <c r="O5" s="5" t="n">
        <f aca="false">SQRT(2*H5/(fs*Lp))</f>
        <v>7.51646028002829</v>
      </c>
      <c r="P5" s="1" t="n">
        <f aca="false">H5/(F5*eff)</f>
        <v>0.555555555555556</v>
      </c>
      <c r="Q5" s="1" t="n">
        <f aca="false">O5*SQRT(M5/3)</f>
        <v>1.44495869606754</v>
      </c>
      <c r="R5" s="1" t="n">
        <f aca="false">H5/I5</f>
        <v>0.05</v>
      </c>
      <c r="S5" s="1" t="n">
        <f aca="false">SQRT(2*R5*n*O5/3)</f>
        <v>0.112284354489301</v>
      </c>
      <c r="T5" s="4" t="n">
        <f aca="false">0.5*Lp*O5^2</f>
        <v>0.0001</v>
      </c>
      <c r="U5" s="1" t="n">
        <f aca="false">F5*M5/(n*I5)</f>
        <v>0.264387094423205</v>
      </c>
      <c r="V5" s="4" t="n">
        <f aca="false">(n*O5-R5)*U5/(fs*n*O5)</f>
        <v>4.58873653148865E-006</v>
      </c>
      <c r="W5" s="4" t="n">
        <f aca="false">(n*O5-R5)*V5/(2*Cout)</f>
        <v>0.0753088039501181</v>
      </c>
      <c r="X5" s="4"/>
      <c r="Y5" s="4"/>
      <c r="Z5" s="4"/>
    </row>
    <row r="6" s="1" customFormat="true" ht="15" hidden="false" customHeight="false" outlineLevel="0" collapsed="false">
      <c r="B6" s="16" t="s">
        <v>22</v>
      </c>
      <c r="C6" s="18" t="n">
        <f aca="false">SQRT(C4/C5)</f>
        <v>0.049359280887923</v>
      </c>
      <c r="D6" s="15"/>
      <c r="E6" s="3" t="n">
        <v>5</v>
      </c>
      <c r="F6" s="15" t="n">
        <v>18</v>
      </c>
      <c r="G6" s="15" t="n">
        <v>5</v>
      </c>
      <c r="H6" s="15" t="n">
        <v>5</v>
      </c>
      <c r="I6" s="15" t="n">
        <v>100</v>
      </c>
      <c r="J6" s="15" t="n">
        <f aca="false">I6^2/H6</f>
        <v>2000</v>
      </c>
      <c r="K6" s="5" t="n">
        <f aca="false">H6/eff</f>
        <v>6.66666666666667</v>
      </c>
      <c r="L6" s="4" t="n">
        <f aca="false">F6^2*Dmax^2/(2*fs*H6)</f>
        <v>0.00013122</v>
      </c>
      <c r="M6" s="1" t="n">
        <f aca="false">SQRT(2*fs*Lp*H6)/F6</f>
        <v>0.0739118594202782</v>
      </c>
      <c r="N6" s="1" t="n">
        <f aca="false">F6*M6/(I6*(1-M6))</f>
        <v>0.0143659486745201</v>
      </c>
      <c r="O6" s="5" t="n">
        <f aca="false">SQRT(2*H6/(fs*Lp))</f>
        <v>7.51646028002829</v>
      </c>
      <c r="P6" s="1" t="n">
        <f aca="false">H6/(F6*eff)</f>
        <v>0.37037037037037</v>
      </c>
      <c r="Q6" s="1" t="n">
        <f aca="false">O6*SQRT(M6/3)</f>
        <v>1.17980383492093</v>
      </c>
      <c r="R6" s="1" t="n">
        <f aca="false">H6/I6</f>
        <v>0.05</v>
      </c>
      <c r="S6" s="1" t="n">
        <f aca="false">SQRT(2*R6*n*O6/3)</f>
        <v>0.112284354489301</v>
      </c>
      <c r="T6" s="4" t="n">
        <f aca="false">0.5*Lp*O6^2</f>
        <v>0.0001</v>
      </c>
      <c r="U6" s="1" t="n">
        <f aca="false">F6*M6/(n*I6)</f>
        <v>0.264387094423205</v>
      </c>
      <c r="V6" s="4" t="n">
        <f aca="false">(n*O6-R6)*U6/(fs*n*O6)</f>
        <v>4.58873653148865E-006</v>
      </c>
      <c r="W6" s="4" t="n">
        <f aca="false">(n*O6-R6)*V6/(2*Cout)</f>
        <v>0.0753088039501181</v>
      </c>
      <c r="X6" s="4"/>
      <c r="Y6" s="4"/>
      <c r="Z6" s="4"/>
    </row>
    <row r="7" s="1" customFormat="true" ht="15" hidden="false" customHeight="false" outlineLevel="0" collapsed="false">
      <c r="B7" s="16" t="s">
        <v>23</v>
      </c>
      <c r="C7" s="19" t="n">
        <f aca="false">1/C6</f>
        <v>20.2596144435458</v>
      </c>
      <c r="D7" s="15"/>
      <c r="E7" s="3" t="n">
        <v>6</v>
      </c>
      <c r="F7" s="15" t="n">
        <v>20</v>
      </c>
      <c r="G7" s="15" t="n">
        <v>5</v>
      </c>
      <c r="H7" s="15" t="n">
        <v>5</v>
      </c>
      <c r="I7" s="15" t="n">
        <v>100</v>
      </c>
      <c r="J7" s="15" t="n">
        <f aca="false">I7^2/H7</f>
        <v>2000</v>
      </c>
      <c r="K7" s="5" t="n">
        <f aca="false">H7/eff</f>
        <v>6.66666666666667</v>
      </c>
      <c r="L7" s="4" t="n">
        <f aca="false">F7^2*Dmax^2/(2*fs*H7)</f>
        <v>0.000162</v>
      </c>
      <c r="M7" s="1" t="n">
        <f aca="false">SQRT(2*fs*Lp*H7)/F7</f>
        <v>0.0665206734782504</v>
      </c>
      <c r="N7" s="1" t="n">
        <f aca="false">F7*M7/(I7*(1-M7))</f>
        <v>0.0142522006836753</v>
      </c>
      <c r="O7" s="5" t="n">
        <f aca="false">SQRT(2*H7/(fs*Lp))</f>
        <v>7.51646028002829</v>
      </c>
      <c r="P7" s="1" t="n">
        <f aca="false">H7/(F7*eff)</f>
        <v>0.333333333333333</v>
      </c>
      <c r="Q7" s="1" t="n">
        <f aca="false">O7*SQRT(M7/3)</f>
        <v>1.11926019316543</v>
      </c>
      <c r="R7" s="1" t="n">
        <f aca="false">H7/I7</f>
        <v>0.05</v>
      </c>
      <c r="S7" s="1" t="n">
        <f aca="false">SQRT(2*R7*n*O7/3)</f>
        <v>0.112284354489301</v>
      </c>
      <c r="T7" s="4" t="n">
        <f aca="false">0.5*Lp*O7^2</f>
        <v>0.0001</v>
      </c>
      <c r="U7" s="1" t="n">
        <f aca="false">F7*M7/(n*I7)</f>
        <v>0.264387094423205</v>
      </c>
      <c r="V7" s="4" t="n">
        <f aca="false">(n*O7-R7)*U7/(fs*n*O7)</f>
        <v>4.58873653148865E-006</v>
      </c>
      <c r="W7" s="4" t="n">
        <f aca="false">(n*O7-R7)*V7/(2*Cout)</f>
        <v>0.0753088039501181</v>
      </c>
      <c r="X7" s="4"/>
      <c r="Y7" s="4"/>
      <c r="Z7" s="4"/>
      <c r="AD7" s="2"/>
    </row>
    <row r="8" s="1" customFormat="true" ht="15" hidden="false" customHeight="false" outlineLevel="0" collapsed="false">
      <c r="B8" s="16" t="s">
        <v>24</v>
      </c>
      <c r="C8" s="18" t="n">
        <f aca="false">1/19.5</f>
        <v>0.0512820512820513</v>
      </c>
      <c r="D8" s="15"/>
      <c r="E8" s="3" t="n">
        <v>4</v>
      </c>
      <c r="F8" s="15" t="n">
        <v>15</v>
      </c>
      <c r="G8" s="15" t="n">
        <v>5</v>
      </c>
      <c r="H8" s="15" t="n">
        <v>5</v>
      </c>
      <c r="I8" s="15" t="n">
        <v>100</v>
      </c>
      <c r="J8" s="15" t="n">
        <f aca="false">I8^2/H8</f>
        <v>2000</v>
      </c>
      <c r="K8" s="5" t="n">
        <f aca="false">H8/eff</f>
        <v>6.66666666666667</v>
      </c>
      <c r="L8" s="4" t="n">
        <f aca="false">F8^2*Dmax^2/(2*fs*H8)</f>
        <v>9.1125E-005</v>
      </c>
      <c r="M8" s="1" t="n">
        <f aca="false">SQRT(2*fs*Lp*H8)/F8</f>
        <v>0.0886942313043338</v>
      </c>
      <c r="N8" s="1" t="n">
        <f aca="false">F8*M8/(I8*(1-M8))</f>
        <v>0.0145989800050229</v>
      </c>
      <c r="O8" s="5" t="n">
        <f aca="false">SQRT(2*H8/(fs*Lp))</f>
        <v>7.51646028002829</v>
      </c>
      <c r="P8" s="1" t="n">
        <f aca="false">H8/(F8*eff)</f>
        <v>0.444444444444444</v>
      </c>
      <c r="Q8" s="1" t="n">
        <f aca="false">O8*SQRT(M8/3)</f>
        <v>1.29241034763459</v>
      </c>
      <c r="R8" s="1" t="n">
        <f aca="false">H8/I8</f>
        <v>0.05</v>
      </c>
      <c r="S8" s="1" t="n">
        <f aca="false">SQRT(2*R8*n*O8/3)</f>
        <v>0.112284354489301</v>
      </c>
      <c r="T8" s="4" t="n">
        <f aca="false">0.5*Lp*O8^2</f>
        <v>0.0001</v>
      </c>
      <c r="U8" s="1" t="n">
        <f aca="false">F8*M8/(n*I8)</f>
        <v>0.264387094423205</v>
      </c>
      <c r="V8" s="4" t="n">
        <f aca="false">(n*O8-R8)*U8/(fs*n*O8)</f>
        <v>4.58873653148865E-006</v>
      </c>
      <c r="W8" s="4" t="n">
        <f aca="false">(n*O8-R8)*V8/(2*Cout)</f>
        <v>0.0753088039501181</v>
      </c>
      <c r="X8" s="4"/>
      <c r="Y8" s="4"/>
      <c r="Z8" s="4"/>
      <c r="AD8" s="2"/>
      <c r="AF8" s="4"/>
    </row>
    <row r="9" s="1" customFormat="true" ht="15" hidden="false" customHeight="false" outlineLevel="0" collapsed="false">
      <c r="B9" s="16" t="s">
        <v>25</v>
      </c>
      <c r="C9" s="19" t="n">
        <f aca="false">1/C8</f>
        <v>19.5</v>
      </c>
      <c r="D9" s="15"/>
      <c r="E9" s="3" t="n">
        <v>7</v>
      </c>
      <c r="F9" s="15" t="n">
        <v>24</v>
      </c>
      <c r="G9" s="15" t="n">
        <v>5</v>
      </c>
      <c r="H9" s="15" t="n">
        <v>5</v>
      </c>
      <c r="I9" s="15" t="n">
        <v>100</v>
      </c>
      <c r="J9" s="15" t="n">
        <f aca="false">I9^2/H9</f>
        <v>2000</v>
      </c>
      <c r="K9" s="5" t="n">
        <f aca="false">H9/eff</f>
        <v>6.66666666666667</v>
      </c>
      <c r="L9" s="4" t="n">
        <f aca="false">F9^2*Dmax^2/(2*fs*H9)</f>
        <v>0.00023328</v>
      </c>
      <c r="M9" s="1" t="n">
        <f aca="false">SQRT(2*fs*Lp*H9)/F9</f>
        <v>0.0554338945652086</v>
      </c>
      <c r="N9" s="1" t="n">
        <f aca="false">F9*M9/(I9*(1-M9))</f>
        <v>0.01408491647022</v>
      </c>
      <c r="O9" s="5" t="n">
        <f aca="false">SQRT(2*H9/(fs*Lp))</f>
        <v>7.51646028002829</v>
      </c>
      <c r="P9" s="1" t="n">
        <f aca="false">H9/(F9*eff)</f>
        <v>0.277777777777778</v>
      </c>
      <c r="Q9" s="1" t="n">
        <f aca="false">O9*SQRT(M9/3)</f>
        <v>1.02174009252383</v>
      </c>
      <c r="R9" s="1" t="n">
        <f aca="false">H9/I9</f>
        <v>0.05</v>
      </c>
      <c r="S9" s="1" t="n">
        <f aca="false">SQRT(2*R9*n*O9/3)</f>
        <v>0.112284354489301</v>
      </c>
      <c r="T9" s="4" t="n">
        <f aca="false">0.5*Lp*O9^2</f>
        <v>0.0001</v>
      </c>
      <c r="U9" s="1" t="n">
        <f aca="false">F9*M9/(n*I9)</f>
        <v>0.264387094423205</v>
      </c>
      <c r="V9" s="4" t="n">
        <f aca="false">(n*O9-R9)*U9/(fs*n*O9)</f>
        <v>4.58873653148865E-006</v>
      </c>
      <c r="W9" s="4" t="n">
        <f aca="false">(n*O9-R9)*V9/(2*Cout)</f>
        <v>0.0753088039501181</v>
      </c>
      <c r="X9" s="4"/>
      <c r="Y9" s="4"/>
      <c r="Z9" s="4"/>
    </row>
    <row r="10" s="1" customFormat="true" ht="15" hidden="false" customHeight="false" outlineLevel="0" collapsed="false">
      <c r="B10" s="16" t="s">
        <v>26</v>
      </c>
      <c r="C10" s="18" t="n">
        <f aca="false">AVERAGE(C6,C8)</f>
        <v>0.0503206660849872</v>
      </c>
      <c r="D10" s="15"/>
      <c r="E10" s="3" t="n">
        <v>37</v>
      </c>
      <c r="F10" s="15" t="n">
        <v>10</v>
      </c>
      <c r="G10" s="15" t="n">
        <v>5</v>
      </c>
      <c r="H10" s="15" t="n">
        <v>5</v>
      </c>
      <c r="I10" s="15" t="n">
        <v>170</v>
      </c>
      <c r="J10" s="15" t="n">
        <f aca="false">I10^2/H10</f>
        <v>5780</v>
      </c>
      <c r="K10" s="5" t="n">
        <f aca="false">H10/eff</f>
        <v>6.66666666666667</v>
      </c>
      <c r="L10" s="4" t="n">
        <f aca="false">F10^2*Dmax^2/(2*fs*H10)</f>
        <v>4.05E-005</v>
      </c>
      <c r="M10" s="1" t="n">
        <f aca="false">SQRT(2*fs*Lp*H10)/F10</f>
        <v>0.133041346956501</v>
      </c>
      <c r="N10" s="1" t="n">
        <f aca="false">F10*M10/(I10*(1-M10))</f>
        <v>0.00902691444188613</v>
      </c>
      <c r="O10" s="5" t="n">
        <f aca="false">SQRT(2*H10/(fs*Lp))</f>
        <v>7.51646028002829</v>
      </c>
      <c r="P10" s="1" t="n">
        <f aca="false">H10/(F10*eff)</f>
        <v>0.666666666666667</v>
      </c>
      <c r="Q10" s="1" t="n">
        <f aca="false">O10*SQRT(M10/3)</f>
        <v>1.58287294499888</v>
      </c>
      <c r="R10" s="1" t="n">
        <f aca="false">H10/I10</f>
        <v>0.0294117647058824</v>
      </c>
      <c r="S10" s="1" t="n">
        <f aca="false">SQRT(2*R10*n*O10/3)</f>
        <v>0.0861181686886212</v>
      </c>
      <c r="T10" s="4" t="n">
        <f aca="false">0.5*Lp*O10^2</f>
        <v>0.0001</v>
      </c>
      <c r="U10" s="1" t="n">
        <f aca="false">F10*M10/(n*I10)</f>
        <v>0.155521820248944</v>
      </c>
      <c r="V10" s="4" t="n">
        <f aca="false">(n*O10-R10)*U10/(fs*n*O10)</f>
        <v>2.86856603924343E-006</v>
      </c>
      <c r="W10" s="4" t="n">
        <f aca="false">(n*O10-R10)*V10/(2*Cout)</f>
        <v>0.0500308787584966</v>
      </c>
      <c r="X10" s="4"/>
      <c r="Y10" s="4"/>
      <c r="Z10" s="4"/>
    </row>
    <row r="11" s="1" customFormat="true" ht="15" hidden="false" customHeight="false" outlineLevel="0" collapsed="false">
      <c r="B11" s="20" t="s">
        <v>27</v>
      </c>
      <c r="C11" s="21" t="n">
        <f aca="false">1/C10</f>
        <v>19.8725509378411</v>
      </c>
      <c r="D11" s="15"/>
      <c r="E11" s="3" t="n">
        <v>38</v>
      </c>
      <c r="F11" s="15" t="n">
        <v>12</v>
      </c>
      <c r="G11" s="15" t="n">
        <v>5</v>
      </c>
      <c r="H11" s="15" t="n">
        <v>5</v>
      </c>
      <c r="I11" s="15" t="n">
        <v>170</v>
      </c>
      <c r="J11" s="15" t="n">
        <f aca="false">I11^2/H11</f>
        <v>5780</v>
      </c>
      <c r="K11" s="5" t="n">
        <f aca="false">H11/eff</f>
        <v>6.66666666666667</v>
      </c>
      <c r="L11" s="4" t="n">
        <f aca="false">F11^2*Dmax^2/(2*fs*H11)</f>
        <v>5.832E-005</v>
      </c>
      <c r="M11" s="1" t="n">
        <f aca="false">SQRT(2*fs*Lp*H11)/F11</f>
        <v>0.110867789130417</v>
      </c>
      <c r="N11" s="1" t="n">
        <f aca="false">F11*M11/(I11*(1-M11))</f>
        <v>0.00880179740426075</v>
      </c>
      <c r="O11" s="5" t="n">
        <f aca="false">SQRT(2*H11/(fs*Lp))</f>
        <v>7.51646028002829</v>
      </c>
      <c r="P11" s="1" t="n">
        <f aca="false">H11/(F11*eff)</f>
        <v>0.555555555555556</v>
      </c>
      <c r="Q11" s="1" t="n">
        <f aca="false">O11*SQRT(M11/3)</f>
        <v>1.44495869606754</v>
      </c>
      <c r="R11" s="1" t="n">
        <f aca="false">H11/I11</f>
        <v>0.0294117647058824</v>
      </c>
      <c r="S11" s="1" t="n">
        <f aca="false">SQRT(2*R11*n*O11/3)</f>
        <v>0.0861181686886212</v>
      </c>
      <c r="T11" s="4" t="n">
        <f aca="false">0.5*Lp*O11^2</f>
        <v>0.0001</v>
      </c>
      <c r="U11" s="1" t="n">
        <f aca="false">F11*M11/(n*I11)</f>
        <v>0.155521820248944</v>
      </c>
      <c r="V11" s="4" t="n">
        <f aca="false">(n*O11-R11)*U11/(fs*n*O11)</f>
        <v>2.86856603924343E-006</v>
      </c>
      <c r="W11" s="4" t="n">
        <f aca="false">(n*O11-R11)*V11/(2*Cout)</f>
        <v>0.0500308787584966</v>
      </c>
      <c r="X11" s="4"/>
      <c r="Y11" s="4"/>
      <c r="Z11" s="4"/>
    </row>
    <row r="12" s="1" customFormat="true" ht="15" hidden="false" customHeight="false" outlineLevel="0" collapsed="false">
      <c r="D12" s="15"/>
      <c r="E12" s="3" t="n">
        <v>39</v>
      </c>
      <c r="F12" s="15" t="n">
        <v>15</v>
      </c>
      <c r="G12" s="15" t="n">
        <v>5</v>
      </c>
      <c r="H12" s="15" t="n">
        <v>5</v>
      </c>
      <c r="I12" s="15" t="n">
        <v>170</v>
      </c>
      <c r="J12" s="15" t="n">
        <f aca="false">I12^2/H12</f>
        <v>5780</v>
      </c>
      <c r="K12" s="5" t="n">
        <f aca="false">H12/eff</f>
        <v>6.66666666666667</v>
      </c>
      <c r="L12" s="4" t="n">
        <f aca="false">F12^2*Dmax^2/(2*fs*H12)</f>
        <v>9.1125E-005</v>
      </c>
      <c r="M12" s="1" t="n">
        <f aca="false">SQRT(2*fs*Lp*H12)/F12</f>
        <v>0.0886942313043338</v>
      </c>
      <c r="N12" s="1" t="n">
        <f aca="false">F12*M12/(I12*(1-M12))</f>
        <v>0.00858763529707231</v>
      </c>
      <c r="O12" s="5" t="n">
        <f aca="false">SQRT(2*H12/(fs*Lp))</f>
        <v>7.51646028002829</v>
      </c>
      <c r="P12" s="1" t="n">
        <f aca="false">H12/(F12*eff)</f>
        <v>0.444444444444444</v>
      </c>
      <c r="Q12" s="1" t="n">
        <f aca="false">O12*SQRT(M12/3)</f>
        <v>1.29241034763459</v>
      </c>
      <c r="R12" s="1" t="n">
        <f aca="false">H12/I12</f>
        <v>0.0294117647058824</v>
      </c>
      <c r="S12" s="1" t="n">
        <f aca="false">SQRT(2*R12*n*O12/3)</f>
        <v>0.0861181686886212</v>
      </c>
      <c r="T12" s="4" t="n">
        <f aca="false">0.5*Lp*O12^2</f>
        <v>0.0001</v>
      </c>
      <c r="U12" s="1" t="n">
        <f aca="false">F12*M12/(n*I12)</f>
        <v>0.155521820248944</v>
      </c>
      <c r="V12" s="4" t="n">
        <f aca="false">(n*O12-R12)*U12/(fs*n*O12)</f>
        <v>2.86856603924343E-006</v>
      </c>
      <c r="W12" s="4" t="n">
        <f aca="false">(n*O12-R12)*V12/(2*Cout)</f>
        <v>0.0500308787584966</v>
      </c>
      <c r="X12" s="4"/>
      <c r="Y12" s="4"/>
      <c r="Z12" s="4"/>
    </row>
    <row r="13" s="1" customFormat="true" ht="15" hidden="false" customHeight="false" outlineLevel="0" collapsed="false">
      <c r="D13" s="15"/>
      <c r="E13" s="3" t="n">
        <v>40</v>
      </c>
      <c r="F13" s="15" t="n">
        <v>18</v>
      </c>
      <c r="G13" s="15" t="n">
        <v>5</v>
      </c>
      <c r="H13" s="15" t="n">
        <v>5</v>
      </c>
      <c r="I13" s="15" t="n">
        <v>170</v>
      </c>
      <c r="J13" s="15" t="n">
        <f aca="false">I13^2/H13</f>
        <v>5780</v>
      </c>
      <c r="K13" s="5" t="n">
        <f aca="false">H13/eff</f>
        <v>6.66666666666667</v>
      </c>
      <c r="L13" s="4" t="n">
        <f aca="false">F13^2*Dmax^2/(2*fs*H13)</f>
        <v>0.00013122</v>
      </c>
      <c r="M13" s="1" t="n">
        <f aca="false">SQRT(2*fs*Lp*H13)/F13</f>
        <v>0.0739118594202782</v>
      </c>
      <c r="N13" s="1" t="n">
        <f aca="false">F13*M13/(I13*(1-M13))</f>
        <v>0.00845055804383537</v>
      </c>
      <c r="O13" s="5" t="n">
        <f aca="false">SQRT(2*H13/(fs*Lp))</f>
        <v>7.51646028002829</v>
      </c>
      <c r="P13" s="1" t="n">
        <f aca="false">H13/(F13*eff)</f>
        <v>0.37037037037037</v>
      </c>
      <c r="Q13" s="1" t="n">
        <f aca="false">O13*SQRT(M13/3)</f>
        <v>1.17980383492093</v>
      </c>
      <c r="R13" s="1" t="n">
        <f aca="false">H13/I13</f>
        <v>0.0294117647058824</v>
      </c>
      <c r="S13" s="1" t="n">
        <f aca="false">SQRT(2*R13*n*O13/3)</f>
        <v>0.0861181686886212</v>
      </c>
      <c r="T13" s="4" t="n">
        <f aca="false">0.5*Lp*O13^2</f>
        <v>0.0001</v>
      </c>
      <c r="U13" s="1" t="n">
        <f aca="false">F13*M13/(n*I13)</f>
        <v>0.155521820248944</v>
      </c>
      <c r="V13" s="4" t="n">
        <f aca="false">(n*O13-R13)*U13/(fs*n*O13)</f>
        <v>2.86856603924343E-006</v>
      </c>
      <c r="W13" s="4" t="n">
        <f aca="false">(n*O13-R13)*V13/(2*Cout)</f>
        <v>0.0500308787584966</v>
      </c>
      <c r="X13" s="4"/>
      <c r="Y13" s="4"/>
      <c r="Z13" s="4"/>
    </row>
    <row r="14" s="1" customFormat="true" ht="15" hidden="false" customHeight="false" outlineLevel="0" collapsed="false">
      <c r="D14" s="15"/>
      <c r="E14" s="3" t="n">
        <v>41</v>
      </c>
      <c r="F14" s="15" t="n">
        <v>20</v>
      </c>
      <c r="G14" s="15" t="n">
        <v>5</v>
      </c>
      <c r="H14" s="15" t="n">
        <v>5</v>
      </c>
      <c r="I14" s="15" t="n">
        <v>170</v>
      </c>
      <c r="J14" s="15" t="n">
        <f aca="false">I14^2/H14</f>
        <v>5780</v>
      </c>
      <c r="K14" s="5" t="n">
        <f aca="false">H14/eff</f>
        <v>6.66666666666667</v>
      </c>
      <c r="L14" s="4" t="n">
        <f aca="false">F14^2*Dmax^2/(2*fs*H14)</f>
        <v>0.000162</v>
      </c>
      <c r="M14" s="1" t="n">
        <f aca="false">SQRT(2*fs*Lp*H14)/F14</f>
        <v>0.0665206734782504</v>
      </c>
      <c r="N14" s="1" t="n">
        <f aca="false">F14*M14/(I14*(1-M14))</f>
        <v>0.00838364746098549</v>
      </c>
      <c r="O14" s="5" t="n">
        <f aca="false">SQRT(2*H14/(fs*Lp))</f>
        <v>7.51646028002829</v>
      </c>
      <c r="P14" s="1" t="n">
        <f aca="false">H14/(F14*eff)</f>
        <v>0.333333333333333</v>
      </c>
      <c r="Q14" s="1" t="n">
        <f aca="false">O14*SQRT(M14/3)</f>
        <v>1.11926019316543</v>
      </c>
      <c r="R14" s="1" t="n">
        <f aca="false">H14/I14</f>
        <v>0.0294117647058824</v>
      </c>
      <c r="S14" s="1" t="n">
        <f aca="false">SQRT(2*R14*n*O14/3)</f>
        <v>0.0861181686886212</v>
      </c>
      <c r="T14" s="4" t="n">
        <f aca="false">0.5*Lp*O14^2</f>
        <v>0.0001</v>
      </c>
      <c r="U14" s="1" t="n">
        <f aca="false">F14*M14/(n*I14)</f>
        <v>0.155521820248944</v>
      </c>
      <c r="V14" s="4" t="n">
        <f aca="false">(n*O14-R14)*U14/(fs*n*O14)</f>
        <v>2.86856603924343E-006</v>
      </c>
      <c r="W14" s="4" t="n">
        <f aca="false">(n*O14-R14)*V14/(2*Cout)</f>
        <v>0.0500308787584966</v>
      </c>
      <c r="X14" s="4"/>
      <c r="Y14" s="4"/>
      <c r="Z14" s="4"/>
    </row>
    <row r="15" s="1" customFormat="true" ht="15" hidden="false" customHeight="false" outlineLevel="0" collapsed="false">
      <c r="D15" s="15"/>
      <c r="E15" s="3" t="n">
        <v>42</v>
      </c>
      <c r="F15" s="15" t="n">
        <v>24</v>
      </c>
      <c r="G15" s="15" t="n">
        <v>5</v>
      </c>
      <c r="H15" s="15" t="n">
        <v>5</v>
      </c>
      <c r="I15" s="15" t="n">
        <v>170</v>
      </c>
      <c r="J15" s="15" t="n">
        <f aca="false">I15^2/H15</f>
        <v>5780</v>
      </c>
      <c r="K15" s="5" t="n">
        <f aca="false">H15/eff</f>
        <v>6.66666666666667</v>
      </c>
      <c r="L15" s="4" t="n">
        <f aca="false">F15^2*Dmax^2/(2*fs*H15)</f>
        <v>0.00023328</v>
      </c>
      <c r="M15" s="1" t="n">
        <f aca="false">SQRT(2*fs*Lp*H15)/F15</f>
        <v>0.0554338945652086</v>
      </c>
      <c r="N15" s="1" t="n">
        <f aca="false">F15*M15/(I15*(1-M15))</f>
        <v>0.00828524498248236</v>
      </c>
      <c r="O15" s="5" t="n">
        <f aca="false">SQRT(2*H15/(fs*Lp))</f>
        <v>7.51646028002829</v>
      </c>
      <c r="P15" s="1" t="n">
        <f aca="false">H15/(F15*eff)</f>
        <v>0.277777777777778</v>
      </c>
      <c r="Q15" s="1" t="n">
        <f aca="false">O15*SQRT(M15/3)</f>
        <v>1.02174009252383</v>
      </c>
      <c r="R15" s="1" t="n">
        <f aca="false">H15/I15</f>
        <v>0.0294117647058824</v>
      </c>
      <c r="S15" s="1" t="n">
        <f aca="false">SQRT(2*R15*n*O15/3)</f>
        <v>0.0861181686886212</v>
      </c>
      <c r="T15" s="4" t="n">
        <f aca="false">0.5*Lp*O15^2</f>
        <v>0.0001</v>
      </c>
      <c r="U15" s="1" t="n">
        <f aca="false">F15*M15/(n*I15)</f>
        <v>0.155521820248944</v>
      </c>
      <c r="V15" s="4" t="n">
        <f aca="false">(n*O15-R15)*U15/(fs*n*O15)</f>
        <v>2.86856603924343E-006</v>
      </c>
      <c r="W15" s="4" t="n">
        <f aca="false">(n*O15-R15)*V15/(2*Cout)</f>
        <v>0.0500308787584966</v>
      </c>
      <c r="X15" s="4"/>
      <c r="Y15" s="4"/>
      <c r="Z15" s="4"/>
    </row>
    <row r="16" s="1" customFormat="true" ht="15" hidden="false" customHeight="false" outlineLevel="0" collapsed="false">
      <c r="D16" s="15"/>
      <c r="E16" s="3" t="n">
        <v>74</v>
      </c>
      <c r="F16" s="15" t="n">
        <v>15</v>
      </c>
      <c r="G16" s="15" t="n">
        <v>5</v>
      </c>
      <c r="H16" s="15" t="n">
        <v>5</v>
      </c>
      <c r="I16" s="15" t="n">
        <v>250</v>
      </c>
      <c r="J16" s="15" t="n">
        <f aca="false">I16^2/H16</f>
        <v>12500</v>
      </c>
      <c r="K16" s="5" t="n">
        <f aca="false">H16/eff</f>
        <v>6.66666666666667</v>
      </c>
      <c r="L16" s="4" t="n">
        <f aca="false">F16^2*Dmax^2/(2*fs*H16)</f>
        <v>9.1125E-005</v>
      </c>
      <c r="M16" s="1" t="n">
        <f aca="false">SQRT(2*fs*Lp*H16)/F16</f>
        <v>0.0886942313043338</v>
      </c>
      <c r="N16" s="1" t="n">
        <f aca="false">F16*M16/(I16*(1-M16))</f>
        <v>0.00583959200200917</v>
      </c>
      <c r="O16" s="5" t="n">
        <f aca="false">SQRT(2*H16/(fs*Lp))</f>
        <v>7.51646028002829</v>
      </c>
      <c r="P16" s="1" t="n">
        <f aca="false">H16/(F16*eff)</f>
        <v>0.444444444444444</v>
      </c>
      <c r="Q16" s="1" t="n">
        <f aca="false">O16*SQRT(M16/3)</f>
        <v>1.29241034763459</v>
      </c>
      <c r="R16" s="1" t="n">
        <f aca="false">H16/I16</f>
        <v>0.02</v>
      </c>
      <c r="S16" s="1" t="n">
        <f aca="false">SQRT(2*R16*n*O16/3)</f>
        <v>0.0710148611575889</v>
      </c>
      <c r="T16" s="4" t="n">
        <f aca="false">0.5*Lp*O16^2</f>
        <v>0.0001</v>
      </c>
      <c r="U16" s="1" t="n">
        <f aca="false">F16*M16/(n*I16)</f>
        <v>0.105754837769282</v>
      </c>
      <c r="V16" s="4" t="n">
        <f aca="false">(n*O16-R16)*U16/(fs*n*O16)</f>
        <v>2.00325589826957E-006</v>
      </c>
      <c r="W16" s="4" t="n">
        <f aca="false">(n*O16-R16)*V16/(2*Cout)</f>
        <v>0.0358816473463448</v>
      </c>
      <c r="X16" s="4"/>
      <c r="Y16" s="4"/>
      <c r="Z16" s="4"/>
    </row>
    <row r="17" s="1" customFormat="true" ht="15" hidden="false" customHeight="false" outlineLevel="0" collapsed="false">
      <c r="B17" s="22" t="s">
        <v>28</v>
      </c>
      <c r="C17" s="22"/>
      <c r="D17" s="15"/>
      <c r="E17" s="3" t="n">
        <v>72</v>
      </c>
      <c r="F17" s="15" t="n">
        <v>10</v>
      </c>
      <c r="G17" s="15" t="n">
        <v>5</v>
      </c>
      <c r="H17" s="15" t="n">
        <v>5</v>
      </c>
      <c r="I17" s="15" t="n">
        <v>250</v>
      </c>
      <c r="J17" s="15" t="n">
        <f aca="false">I17^2/H17</f>
        <v>12500</v>
      </c>
      <c r="K17" s="5" t="n">
        <f aca="false">H17/eff</f>
        <v>6.66666666666667</v>
      </c>
      <c r="L17" s="4" t="n">
        <f aca="false">F17^2*Dmax^2/(2*fs*H17)</f>
        <v>4.05E-005</v>
      </c>
      <c r="M17" s="1" t="n">
        <f aca="false">SQRT(2*fs*Lp*H17)/F17</f>
        <v>0.133041346956501</v>
      </c>
      <c r="N17" s="1" t="n">
        <f aca="false">F17*M17/(I17*(1-M17))</f>
        <v>0.00613830182048257</v>
      </c>
      <c r="O17" s="5" t="n">
        <f aca="false">SQRT(2*H17/(fs*Lp))</f>
        <v>7.51646028002829</v>
      </c>
      <c r="P17" s="1" t="n">
        <f aca="false">H17/(F17*eff)</f>
        <v>0.666666666666667</v>
      </c>
      <c r="Q17" s="1" t="n">
        <f aca="false">O17*SQRT(M17/3)</f>
        <v>1.58287294499888</v>
      </c>
      <c r="R17" s="1" t="n">
        <f aca="false">H17/I17</f>
        <v>0.02</v>
      </c>
      <c r="S17" s="1" t="n">
        <f aca="false">SQRT(2*R17*n*O17/3)</f>
        <v>0.0710148611575889</v>
      </c>
      <c r="T17" s="4" t="n">
        <f aca="false">0.5*Lp*O17^2</f>
        <v>0.0001</v>
      </c>
      <c r="U17" s="1" t="n">
        <f aca="false">F17*M17/(n*I17)</f>
        <v>0.105754837769282</v>
      </c>
      <c r="V17" s="4" t="n">
        <f aca="false">(n*O17-R17)*U17/(fs*n*O17)</f>
        <v>2.00325589826957E-006</v>
      </c>
      <c r="W17" s="4" t="n">
        <f aca="false">(n*O17-R17)*V17/(2*Cout)</f>
        <v>0.0358816473463448</v>
      </c>
      <c r="X17" s="4"/>
      <c r="Y17" s="4"/>
      <c r="Z17" s="4"/>
    </row>
    <row r="18" s="1" customFormat="true" ht="15" hidden="false" customHeight="false" outlineLevel="0" collapsed="false">
      <c r="B18" s="23" t="s">
        <v>29</v>
      </c>
      <c r="C18" s="24" t="n">
        <f aca="false">50*1000</f>
        <v>50000</v>
      </c>
      <c r="D18" s="15"/>
      <c r="E18" s="3" t="n">
        <v>73</v>
      </c>
      <c r="F18" s="15" t="n">
        <v>12</v>
      </c>
      <c r="G18" s="15" t="n">
        <v>5</v>
      </c>
      <c r="H18" s="15" t="n">
        <v>5</v>
      </c>
      <c r="I18" s="15" t="n">
        <v>250</v>
      </c>
      <c r="J18" s="15" t="n">
        <f aca="false">I18^2/H18</f>
        <v>12500</v>
      </c>
      <c r="K18" s="5" t="n">
        <f aca="false">H18/eff</f>
        <v>6.66666666666667</v>
      </c>
      <c r="L18" s="4" t="n">
        <f aca="false">F18^2*Dmax^2/(2*fs*H18)</f>
        <v>5.832E-005</v>
      </c>
      <c r="M18" s="1" t="n">
        <f aca="false">SQRT(2*fs*Lp*H18)/F18</f>
        <v>0.110867789130417</v>
      </c>
      <c r="N18" s="1" t="n">
        <f aca="false">F18*M18/(I18*(1-M18))</f>
        <v>0.00598522223489731</v>
      </c>
      <c r="O18" s="5" t="n">
        <f aca="false">SQRT(2*H18/(fs*Lp))</f>
        <v>7.51646028002829</v>
      </c>
      <c r="P18" s="1" t="n">
        <f aca="false">H18/(F18*eff)</f>
        <v>0.555555555555556</v>
      </c>
      <c r="Q18" s="1" t="n">
        <f aca="false">O18*SQRT(M18/3)</f>
        <v>1.44495869606754</v>
      </c>
      <c r="R18" s="1" t="n">
        <f aca="false">H18/I18</f>
        <v>0.02</v>
      </c>
      <c r="S18" s="1" t="n">
        <f aca="false">SQRT(2*R18*n*O18/3)</f>
        <v>0.0710148611575889</v>
      </c>
      <c r="T18" s="4" t="n">
        <f aca="false">0.5*Lp*O18^2</f>
        <v>0.0001</v>
      </c>
      <c r="U18" s="1" t="n">
        <f aca="false">F18*M18/(n*I18)</f>
        <v>0.105754837769282</v>
      </c>
      <c r="V18" s="4" t="n">
        <f aca="false">(n*O18-R18)*U18/(fs*n*O18)</f>
        <v>2.00325589826957E-006</v>
      </c>
      <c r="W18" s="4" t="n">
        <f aca="false">(n*O18-R18)*V18/(2*Cout)</f>
        <v>0.0358816473463448</v>
      </c>
      <c r="X18" s="4"/>
      <c r="Y18" s="4"/>
      <c r="Z18" s="4"/>
      <c r="AF18" s="4"/>
    </row>
    <row r="19" s="1" customFormat="true" ht="15" hidden="false" customHeight="false" outlineLevel="0" collapsed="false">
      <c r="B19" s="25" t="s">
        <v>30</v>
      </c>
      <c r="C19" s="19" t="n">
        <v>0.45</v>
      </c>
      <c r="D19" s="15"/>
      <c r="E19" s="3" t="n">
        <v>75</v>
      </c>
      <c r="F19" s="15" t="n">
        <v>18</v>
      </c>
      <c r="G19" s="15" t="n">
        <v>5</v>
      </c>
      <c r="H19" s="15" t="n">
        <v>5</v>
      </c>
      <c r="I19" s="15" t="n">
        <v>250</v>
      </c>
      <c r="J19" s="15" t="n">
        <f aca="false">I19^2/H19</f>
        <v>12500</v>
      </c>
      <c r="K19" s="5" t="n">
        <f aca="false">H19/eff</f>
        <v>6.66666666666667</v>
      </c>
      <c r="L19" s="4" t="n">
        <f aca="false">F19^2*Dmax^2/(2*fs*H19)</f>
        <v>0.00013122</v>
      </c>
      <c r="M19" s="1" t="n">
        <f aca="false">SQRT(2*fs*Lp*H19)/F19</f>
        <v>0.0739118594202782</v>
      </c>
      <c r="N19" s="1" t="n">
        <f aca="false">F19*M19/(I19*(1-M19))</f>
        <v>0.00574637946980805</v>
      </c>
      <c r="O19" s="5" t="n">
        <f aca="false">SQRT(2*H19/(fs*Lp))</f>
        <v>7.51646028002829</v>
      </c>
      <c r="P19" s="1" t="n">
        <f aca="false">H19/(F19*eff)</f>
        <v>0.37037037037037</v>
      </c>
      <c r="Q19" s="1" t="n">
        <f aca="false">O19*SQRT(M19/3)</f>
        <v>1.17980383492093</v>
      </c>
      <c r="R19" s="1" t="n">
        <f aca="false">H19/I19</f>
        <v>0.02</v>
      </c>
      <c r="S19" s="1" t="n">
        <f aca="false">SQRT(2*R19*n*O19/3)</f>
        <v>0.0710148611575889</v>
      </c>
      <c r="T19" s="4" t="n">
        <f aca="false">0.5*Lp*O19^2</f>
        <v>0.0001</v>
      </c>
      <c r="U19" s="1" t="n">
        <f aca="false">F19*M19/(n*I19)</f>
        <v>0.105754837769282</v>
      </c>
      <c r="V19" s="4" t="n">
        <f aca="false">(n*O19-R19)*U19/(fs*n*O19)</f>
        <v>2.00325589826957E-006</v>
      </c>
      <c r="W19" s="4" t="n">
        <f aca="false">(n*O19-R19)*V19/(2*Cout)</f>
        <v>0.0358816473463448</v>
      </c>
      <c r="X19" s="4"/>
      <c r="Y19" s="4"/>
      <c r="Z19" s="4"/>
      <c r="AF19" s="4"/>
    </row>
    <row r="20" s="1" customFormat="true" ht="15" hidden="false" customHeight="false" outlineLevel="0" collapsed="false">
      <c r="B20" s="26" t="s">
        <v>31</v>
      </c>
      <c r="C20" s="17" t="n">
        <f aca="false">10*0.000001</f>
        <v>1E-005</v>
      </c>
      <c r="D20" s="15"/>
      <c r="E20" s="3" t="n">
        <v>76</v>
      </c>
      <c r="F20" s="15" t="n">
        <v>20</v>
      </c>
      <c r="G20" s="15" t="n">
        <v>5</v>
      </c>
      <c r="H20" s="15" t="n">
        <v>5</v>
      </c>
      <c r="I20" s="15" t="n">
        <v>250</v>
      </c>
      <c r="J20" s="15" t="n">
        <f aca="false">I20^2/H20</f>
        <v>12500</v>
      </c>
      <c r="K20" s="5" t="n">
        <f aca="false">H20/eff</f>
        <v>6.66666666666667</v>
      </c>
      <c r="L20" s="4" t="n">
        <f aca="false">F20^2*Dmax^2/(2*fs*H20)</f>
        <v>0.000162</v>
      </c>
      <c r="M20" s="1" t="n">
        <f aca="false">SQRT(2*fs*Lp*H20)/F20</f>
        <v>0.0665206734782504</v>
      </c>
      <c r="N20" s="1" t="n">
        <f aca="false">F20*M20/(I20*(1-M20))</f>
        <v>0.00570088027347013</v>
      </c>
      <c r="O20" s="5" t="n">
        <f aca="false">SQRT(2*H20/(fs*Lp))</f>
        <v>7.51646028002829</v>
      </c>
      <c r="P20" s="1" t="n">
        <f aca="false">H20/(F20*eff)</f>
        <v>0.333333333333333</v>
      </c>
      <c r="Q20" s="1" t="n">
        <f aca="false">O20*SQRT(M20/3)</f>
        <v>1.11926019316543</v>
      </c>
      <c r="R20" s="1" t="n">
        <f aca="false">H20/I20</f>
        <v>0.02</v>
      </c>
      <c r="S20" s="1" t="n">
        <f aca="false">SQRT(2*R20*n*O20/3)</f>
        <v>0.0710148611575889</v>
      </c>
      <c r="T20" s="4" t="n">
        <f aca="false">0.5*Lp*O20^2</f>
        <v>0.0001</v>
      </c>
      <c r="U20" s="1" t="n">
        <f aca="false">F20*M20/(n*I20)</f>
        <v>0.105754837769282</v>
      </c>
      <c r="V20" s="4" t="n">
        <f aca="false">(n*O20-R20)*U20/(fs*n*O20)</f>
        <v>2.00325589826957E-006</v>
      </c>
      <c r="W20" s="4" t="n">
        <f aca="false">(n*O20-R20)*V20/(2*Cout)</f>
        <v>0.0358816473463448</v>
      </c>
      <c r="X20" s="4"/>
      <c r="Y20" s="4"/>
      <c r="Z20" s="4"/>
    </row>
    <row r="21" s="1" customFormat="true" ht="15" hidden="false" customHeight="false" outlineLevel="0" collapsed="false">
      <c r="B21" s="26" t="s">
        <v>32</v>
      </c>
      <c r="C21" s="19" t="n">
        <v>0.75</v>
      </c>
      <c r="D21" s="15"/>
      <c r="E21" s="3" t="n">
        <v>77</v>
      </c>
      <c r="F21" s="15" t="n">
        <v>24</v>
      </c>
      <c r="G21" s="15" t="n">
        <v>5</v>
      </c>
      <c r="H21" s="15" t="n">
        <v>5</v>
      </c>
      <c r="I21" s="15" t="n">
        <v>250</v>
      </c>
      <c r="J21" s="15" t="n">
        <f aca="false">I21^2/H21</f>
        <v>12500</v>
      </c>
      <c r="K21" s="5" t="n">
        <f aca="false">H21/eff</f>
        <v>6.66666666666667</v>
      </c>
      <c r="L21" s="4" t="n">
        <f aca="false">F21^2*Dmax^2/(2*fs*H21)</f>
        <v>0.00023328</v>
      </c>
      <c r="M21" s="1" t="n">
        <f aca="false">SQRT(2*fs*Lp*H21)/F21</f>
        <v>0.0554338945652086</v>
      </c>
      <c r="N21" s="1" t="n">
        <f aca="false">F21*M21/(I21*(1-M21))</f>
        <v>0.00563396658808801</v>
      </c>
      <c r="O21" s="5" t="n">
        <f aca="false">SQRT(2*H21/(fs*Lp))</f>
        <v>7.51646028002829</v>
      </c>
      <c r="P21" s="1" t="n">
        <f aca="false">H21/(F21*eff)</f>
        <v>0.277777777777778</v>
      </c>
      <c r="Q21" s="1" t="n">
        <f aca="false">O21*SQRT(M21/3)</f>
        <v>1.02174009252383</v>
      </c>
      <c r="R21" s="1" t="n">
        <f aca="false">H21/I21</f>
        <v>0.02</v>
      </c>
      <c r="S21" s="1" t="n">
        <f aca="false">SQRT(2*R21*n*O21/3)</f>
        <v>0.0710148611575889</v>
      </c>
      <c r="T21" s="4" t="n">
        <f aca="false">0.5*Lp*O21^2</f>
        <v>0.0001</v>
      </c>
      <c r="U21" s="1" t="n">
        <f aca="false">F21*M21/(n*I21)</f>
        <v>0.105754837769282</v>
      </c>
      <c r="V21" s="4" t="n">
        <f aca="false">(n*O21-R21)*U21/(fs*n*O21)</f>
        <v>2.00325589826957E-006</v>
      </c>
      <c r="W21" s="4" t="n">
        <f aca="false">(n*O21-R21)*V21/(2*Cout)</f>
        <v>0.0358816473463448</v>
      </c>
      <c r="X21" s="4"/>
      <c r="Y21" s="4"/>
      <c r="Z21" s="4"/>
    </row>
    <row r="22" s="1" customFormat="true" ht="15" hidden="false" customHeight="false" outlineLevel="0" collapsed="false">
      <c r="B22" s="27" t="s">
        <v>33</v>
      </c>
      <c r="C22" s="28" t="n">
        <v>0.013</v>
      </c>
      <c r="D22" s="15"/>
      <c r="E22" s="3" t="n">
        <v>107</v>
      </c>
      <c r="F22" s="15" t="n">
        <v>10</v>
      </c>
      <c r="G22" s="15" t="n">
        <v>5</v>
      </c>
      <c r="H22" s="15" t="n">
        <v>5</v>
      </c>
      <c r="I22" s="15" t="n">
        <v>400</v>
      </c>
      <c r="J22" s="15" t="n">
        <f aca="false">I22^2/H22</f>
        <v>32000</v>
      </c>
      <c r="K22" s="5" t="n">
        <f aca="false">H22/eff</f>
        <v>6.66666666666667</v>
      </c>
      <c r="L22" s="4" t="n">
        <f aca="false">F22^2*Dmax^2/(2*fs*H22)</f>
        <v>4.05E-005</v>
      </c>
      <c r="M22" s="1" t="n">
        <f aca="false">SQRT(2*fs*Lp*H22)/F22</f>
        <v>0.133041346956501</v>
      </c>
      <c r="N22" s="1" t="n">
        <f aca="false">F22*M22/(I22*(1-M22))</f>
        <v>0.00383643863780161</v>
      </c>
      <c r="O22" s="5" t="n">
        <f aca="false">SQRT(2*H22/(fs*Lp))</f>
        <v>7.51646028002829</v>
      </c>
      <c r="P22" s="1" t="n">
        <f aca="false">H22/(F22*eff)</f>
        <v>0.666666666666667</v>
      </c>
      <c r="Q22" s="1" t="n">
        <f aca="false">O22*SQRT(M22/3)</f>
        <v>1.58287294499888</v>
      </c>
      <c r="R22" s="1" t="n">
        <f aca="false">H22/I22</f>
        <v>0.0125</v>
      </c>
      <c r="S22" s="1" t="n">
        <f aca="false">SQRT(2*R22*n*O22/3)</f>
        <v>0.0561421772446507</v>
      </c>
      <c r="T22" s="4" t="n">
        <f aca="false">0.5*Lp*O22^2</f>
        <v>0.0001</v>
      </c>
      <c r="U22" s="1" t="n">
        <f aca="false">F22*M22/(n*I22)</f>
        <v>0.0660967736058013</v>
      </c>
      <c r="V22" s="4" t="n">
        <f aca="false">(n*O22-R22)*U22/(fs*n*O22)</f>
        <v>1.27824763730506E-006</v>
      </c>
      <c r="W22" s="4" t="n">
        <f aca="false">(n*O22-R22)*V22/(2*Cout)</f>
        <v>0.0233748855566118</v>
      </c>
      <c r="X22" s="4"/>
      <c r="Y22" s="4"/>
      <c r="Z22" s="4"/>
      <c r="AF22" s="4"/>
    </row>
    <row r="23" s="1" customFormat="true" ht="15" hidden="false" customHeight="false" outlineLevel="0" collapsed="false">
      <c r="B23" s="29"/>
      <c r="C23" s="30"/>
      <c r="D23" s="15"/>
      <c r="E23" s="3" t="n">
        <v>108</v>
      </c>
      <c r="F23" s="15" t="n">
        <v>12</v>
      </c>
      <c r="G23" s="15" t="n">
        <v>5</v>
      </c>
      <c r="H23" s="15" t="n">
        <v>5</v>
      </c>
      <c r="I23" s="15" t="n">
        <v>400</v>
      </c>
      <c r="J23" s="15" t="n">
        <f aca="false">I23^2/H23</f>
        <v>32000</v>
      </c>
      <c r="K23" s="5" t="n">
        <f aca="false">H23/eff</f>
        <v>6.66666666666667</v>
      </c>
      <c r="L23" s="4" t="n">
        <f aca="false">F23^2*Dmax^2/(2*fs*H23)</f>
        <v>5.832E-005</v>
      </c>
      <c r="M23" s="1" t="n">
        <f aca="false">SQRT(2*fs*Lp*H23)/F23</f>
        <v>0.110867789130417</v>
      </c>
      <c r="N23" s="1" t="n">
        <f aca="false">F23*M23/(I23*(1-M23))</f>
        <v>0.00374076389681082</v>
      </c>
      <c r="O23" s="5" t="n">
        <f aca="false">SQRT(2*H23/(fs*Lp))</f>
        <v>7.51646028002829</v>
      </c>
      <c r="P23" s="1" t="n">
        <f aca="false">H23/(F23*eff)</f>
        <v>0.555555555555556</v>
      </c>
      <c r="Q23" s="1" t="n">
        <f aca="false">O23*SQRT(M23/3)</f>
        <v>1.44495869606754</v>
      </c>
      <c r="R23" s="1" t="n">
        <f aca="false">H23/I23</f>
        <v>0.0125</v>
      </c>
      <c r="S23" s="1" t="n">
        <f aca="false">SQRT(2*R23*n*O23/3)</f>
        <v>0.0561421772446507</v>
      </c>
      <c r="T23" s="4" t="n">
        <f aca="false">0.5*Lp*O23^2</f>
        <v>0.0001</v>
      </c>
      <c r="U23" s="1" t="n">
        <f aca="false">F23*M23/(n*I23)</f>
        <v>0.0660967736058013</v>
      </c>
      <c r="V23" s="4" t="n">
        <f aca="false">(n*O23-R23)*U23/(fs*n*O23)</f>
        <v>1.27824763730506E-006</v>
      </c>
      <c r="W23" s="4" t="n">
        <f aca="false">(n*O23-R23)*V23/(2*Cout)</f>
        <v>0.0233748855566118</v>
      </c>
      <c r="X23" s="4"/>
      <c r="Y23" s="4"/>
      <c r="Z23" s="4"/>
    </row>
    <row r="24" s="1" customFormat="true" ht="15" hidden="false" customHeight="false" outlineLevel="0" collapsed="false">
      <c r="B24" s="2"/>
      <c r="D24" s="15"/>
      <c r="E24" s="3" t="n">
        <v>109</v>
      </c>
      <c r="F24" s="15" t="n">
        <v>15</v>
      </c>
      <c r="G24" s="15" t="n">
        <v>5</v>
      </c>
      <c r="H24" s="15" t="n">
        <v>5</v>
      </c>
      <c r="I24" s="15" t="n">
        <v>400</v>
      </c>
      <c r="J24" s="15" t="n">
        <f aca="false">I24^2/H24</f>
        <v>32000</v>
      </c>
      <c r="K24" s="5" t="n">
        <f aca="false">H24/eff</f>
        <v>6.66666666666667</v>
      </c>
      <c r="L24" s="4" t="n">
        <f aca="false">F24^2*Dmax^2/(2*fs*H24)</f>
        <v>9.1125E-005</v>
      </c>
      <c r="M24" s="1" t="n">
        <f aca="false">SQRT(2*fs*Lp*H24)/F24</f>
        <v>0.0886942313043338</v>
      </c>
      <c r="N24" s="1" t="n">
        <f aca="false">F24*M24/(I24*(1-M24))</f>
        <v>0.00364974500125573</v>
      </c>
      <c r="O24" s="5" t="n">
        <f aca="false">SQRT(2*H24/(fs*Lp))</f>
        <v>7.51646028002829</v>
      </c>
      <c r="P24" s="1" t="n">
        <f aca="false">H24/(F24*eff)</f>
        <v>0.444444444444444</v>
      </c>
      <c r="Q24" s="1" t="n">
        <f aca="false">O24*SQRT(M24/3)</f>
        <v>1.29241034763459</v>
      </c>
      <c r="R24" s="1" t="n">
        <f aca="false">H24/I24</f>
        <v>0.0125</v>
      </c>
      <c r="S24" s="1" t="n">
        <f aca="false">SQRT(2*R24*n*O24/3)</f>
        <v>0.0561421772446507</v>
      </c>
      <c r="T24" s="4" t="n">
        <f aca="false">0.5*Lp*O24^2</f>
        <v>0.0001</v>
      </c>
      <c r="U24" s="1" t="n">
        <f aca="false">F24*M24/(n*I24)</f>
        <v>0.0660967736058013</v>
      </c>
      <c r="V24" s="4" t="n">
        <f aca="false">(n*O24-R24)*U24/(fs*n*O24)</f>
        <v>1.27824763730506E-006</v>
      </c>
      <c r="W24" s="4" t="n">
        <f aca="false">(n*O24-R24)*V24/(2*Cout)</f>
        <v>0.0233748855566118</v>
      </c>
      <c r="X24" s="4"/>
      <c r="Y24" s="4"/>
      <c r="Z24" s="4"/>
    </row>
    <row r="25" s="1" customFormat="true" ht="15" hidden="false" customHeight="false" outlineLevel="0" collapsed="false">
      <c r="B25" s="2"/>
      <c r="D25" s="15"/>
      <c r="E25" s="3" t="n">
        <v>110</v>
      </c>
      <c r="F25" s="15" t="n">
        <v>18</v>
      </c>
      <c r="G25" s="15" t="n">
        <v>5</v>
      </c>
      <c r="H25" s="15" t="n">
        <v>5</v>
      </c>
      <c r="I25" s="15" t="n">
        <v>400</v>
      </c>
      <c r="J25" s="15" t="n">
        <f aca="false">I25^2/H25</f>
        <v>32000</v>
      </c>
      <c r="K25" s="5" t="n">
        <f aca="false">H25/eff</f>
        <v>6.66666666666667</v>
      </c>
      <c r="L25" s="4" t="n">
        <f aca="false">F25^2*Dmax^2/(2*fs*H25)</f>
        <v>0.00013122</v>
      </c>
      <c r="M25" s="1" t="n">
        <f aca="false">SQRT(2*fs*Lp*H25)/F25</f>
        <v>0.0739118594202782</v>
      </c>
      <c r="N25" s="1" t="n">
        <f aca="false">F25*M25/(I25*(1-M25))</f>
        <v>0.00359148716863003</v>
      </c>
      <c r="O25" s="5" t="n">
        <f aca="false">SQRT(2*H25/(fs*Lp))</f>
        <v>7.51646028002829</v>
      </c>
      <c r="P25" s="1" t="n">
        <f aca="false">H25/(F25*eff)</f>
        <v>0.37037037037037</v>
      </c>
      <c r="Q25" s="1" t="n">
        <f aca="false">O25*SQRT(M25/3)</f>
        <v>1.17980383492093</v>
      </c>
      <c r="R25" s="1" t="n">
        <f aca="false">H25/I25</f>
        <v>0.0125</v>
      </c>
      <c r="S25" s="1" t="n">
        <f aca="false">SQRT(2*R25*n*O25/3)</f>
        <v>0.0561421772446507</v>
      </c>
      <c r="T25" s="4" t="n">
        <f aca="false">0.5*Lp*O25^2</f>
        <v>0.0001</v>
      </c>
      <c r="U25" s="1" t="n">
        <f aca="false">F25*M25/(n*I25)</f>
        <v>0.0660967736058013</v>
      </c>
      <c r="V25" s="4" t="n">
        <f aca="false">(n*O25-R25)*U25/(fs*n*O25)</f>
        <v>1.27824763730506E-006</v>
      </c>
      <c r="W25" s="4" t="n">
        <f aca="false">(n*O25-R25)*V25/(2*Cout)</f>
        <v>0.0233748855566118</v>
      </c>
      <c r="X25" s="4"/>
      <c r="Y25" s="4"/>
      <c r="Z25" s="4"/>
    </row>
    <row r="26" s="1" customFormat="true" ht="15" hidden="false" customHeight="false" outlineLevel="0" collapsed="false">
      <c r="B26" s="2"/>
      <c r="D26" s="15"/>
      <c r="E26" s="3" t="n">
        <v>111</v>
      </c>
      <c r="F26" s="15" t="n">
        <v>20</v>
      </c>
      <c r="G26" s="15" t="n">
        <v>5</v>
      </c>
      <c r="H26" s="15" t="n">
        <v>5</v>
      </c>
      <c r="I26" s="15" t="n">
        <v>400</v>
      </c>
      <c r="J26" s="15" t="n">
        <f aca="false">I26^2/H26</f>
        <v>32000</v>
      </c>
      <c r="K26" s="5" t="n">
        <f aca="false">H26/eff</f>
        <v>6.66666666666667</v>
      </c>
      <c r="L26" s="4" t="n">
        <f aca="false">F26^2*Dmax^2/(2*fs*H26)</f>
        <v>0.000162</v>
      </c>
      <c r="M26" s="1" t="n">
        <f aca="false">SQRT(2*fs*Lp*H26)/F26</f>
        <v>0.0665206734782504</v>
      </c>
      <c r="N26" s="1" t="n">
        <f aca="false">F26*M26/(I26*(1-M26))</f>
        <v>0.00356305017091883</v>
      </c>
      <c r="O26" s="5" t="n">
        <f aca="false">SQRT(2*H26/(fs*Lp))</f>
        <v>7.51646028002829</v>
      </c>
      <c r="P26" s="1" t="n">
        <f aca="false">H26/(F26*eff)</f>
        <v>0.333333333333333</v>
      </c>
      <c r="Q26" s="1" t="n">
        <f aca="false">O26*SQRT(M26/3)</f>
        <v>1.11926019316543</v>
      </c>
      <c r="R26" s="1" t="n">
        <f aca="false">H26/I26</f>
        <v>0.0125</v>
      </c>
      <c r="S26" s="1" t="n">
        <f aca="false">SQRT(2*R26*n*O26/3)</f>
        <v>0.0561421772446507</v>
      </c>
      <c r="T26" s="4" t="n">
        <f aca="false">0.5*Lp*O26^2</f>
        <v>0.0001</v>
      </c>
      <c r="U26" s="1" t="n">
        <f aca="false">F26*M26/(n*I26)</f>
        <v>0.0660967736058013</v>
      </c>
      <c r="V26" s="4" t="n">
        <f aca="false">(n*O26-R26)*U26/(fs*n*O26)</f>
        <v>1.27824763730506E-006</v>
      </c>
      <c r="W26" s="4" t="n">
        <f aca="false">(n*O26-R26)*V26/(2*Cout)</f>
        <v>0.0233748855566118</v>
      </c>
      <c r="X26" s="4"/>
      <c r="Y26" s="4"/>
      <c r="Z26" s="4"/>
    </row>
    <row r="27" s="1" customFormat="true" ht="15" hidden="false" customHeight="false" outlineLevel="0" collapsed="false">
      <c r="D27" s="15"/>
      <c r="E27" s="3" t="n">
        <v>112</v>
      </c>
      <c r="F27" s="15" t="n">
        <v>24</v>
      </c>
      <c r="G27" s="15" t="n">
        <v>5</v>
      </c>
      <c r="H27" s="15" t="n">
        <v>5</v>
      </c>
      <c r="I27" s="15" t="n">
        <v>400</v>
      </c>
      <c r="J27" s="15" t="n">
        <f aca="false">I27^2/H27</f>
        <v>32000</v>
      </c>
      <c r="K27" s="5" t="n">
        <f aca="false">H27/eff</f>
        <v>6.66666666666667</v>
      </c>
      <c r="L27" s="4" t="n">
        <f aca="false">F27^2*Dmax^2/(2*fs*H27)</f>
        <v>0.00023328</v>
      </c>
      <c r="M27" s="1" t="n">
        <f aca="false">SQRT(2*fs*Lp*H27)/F27</f>
        <v>0.0554338945652086</v>
      </c>
      <c r="N27" s="1" t="n">
        <f aca="false">F27*M27/(I27*(1-M27))</f>
        <v>0.00352122911755501</v>
      </c>
      <c r="O27" s="5" t="n">
        <f aca="false">SQRT(2*H27/(fs*Lp))</f>
        <v>7.51646028002829</v>
      </c>
      <c r="P27" s="1" t="n">
        <f aca="false">H27/(F27*eff)</f>
        <v>0.277777777777778</v>
      </c>
      <c r="Q27" s="1" t="n">
        <f aca="false">O27*SQRT(M27/3)</f>
        <v>1.02174009252383</v>
      </c>
      <c r="R27" s="1" t="n">
        <f aca="false">H27/I27</f>
        <v>0.0125</v>
      </c>
      <c r="S27" s="1" t="n">
        <f aca="false">SQRT(2*R27*n*O27/3)</f>
        <v>0.0561421772446507</v>
      </c>
      <c r="T27" s="4" t="n">
        <f aca="false">0.5*Lp*O27^2</f>
        <v>0.0001</v>
      </c>
      <c r="U27" s="1" t="n">
        <f aca="false">F27*M27/(n*I27)</f>
        <v>0.0660967736058013</v>
      </c>
      <c r="V27" s="4" t="n">
        <f aca="false">(n*O27-R27)*U27/(fs*n*O27)</f>
        <v>1.27824763730506E-006</v>
      </c>
      <c r="W27" s="4" t="n">
        <f aca="false">(n*O27-R27)*V27/(2*Cout)</f>
        <v>0.0233748855566118</v>
      </c>
      <c r="X27" s="4"/>
      <c r="Y27" s="4"/>
      <c r="Z27" s="4"/>
    </row>
    <row r="28" s="1" customFormat="true" ht="15" hidden="false" customHeight="false" outlineLevel="0" collapsed="false">
      <c r="D28" s="15"/>
      <c r="E28" s="3" t="n">
        <v>144</v>
      </c>
      <c r="F28" s="15" t="n">
        <v>15</v>
      </c>
      <c r="G28" s="15" t="n">
        <v>5</v>
      </c>
      <c r="H28" s="15" t="n">
        <v>5</v>
      </c>
      <c r="I28" s="15" t="n">
        <v>550</v>
      </c>
      <c r="J28" s="15" t="n">
        <f aca="false">I28^2/H28</f>
        <v>60500</v>
      </c>
      <c r="K28" s="5" t="n">
        <f aca="false">H28/eff</f>
        <v>6.66666666666667</v>
      </c>
      <c r="L28" s="4" t="n">
        <f aca="false">F28^2*Dmax^2/(2*fs*H28)</f>
        <v>9.1125E-005</v>
      </c>
      <c r="M28" s="1" t="n">
        <f aca="false">SQRT(2*fs*Lp*H28)/F28</f>
        <v>0.0886942313043338</v>
      </c>
      <c r="N28" s="1" t="n">
        <f aca="false">F28*M28/(I28*(1-M28))</f>
        <v>0.00265436000091326</v>
      </c>
      <c r="O28" s="5" t="n">
        <f aca="false">SQRT(2*H28/(fs*Lp))</f>
        <v>7.51646028002829</v>
      </c>
      <c r="P28" s="1" t="n">
        <f aca="false">H28/(F28*eff)</f>
        <v>0.444444444444444</v>
      </c>
      <c r="Q28" s="1" t="n">
        <f aca="false">O28*SQRT(M28/3)</f>
        <v>1.29241034763459</v>
      </c>
      <c r="R28" s="1" t="n">
        <f aca="false">H28/I28</f>
        <v>0.00909090909090909</v>
      </c>
      <c r="S28" s="1" t="n">
        <f aca="false">SQRT(2*R28*n*O28/3)</f>
        <v>0.0478782096252927</v>
      </c>
      <c r="T28" s="4" t="n">
        <f aca="false">0.5*Lp*O28^2</f>
        <v>0.0001</v>
      </c>
      <c r="U28" s="1" t="n">
        <f aca="false">F28*M28/(n*I28)</f>
        <v>0.0480703808042191</v>
      </c>
      <c r="V28" s="4" t="n">
        <f aca="false">(n*O28-R28)*U28/(fs*n*O28)</f>
        <v>9.38300000977756E-007</v>
      </c>
      <c r="W28" s="4" t="n">
        <f aca="false">(n*O28-R28)*V28/(2*Cout)</f>
        <v>0.0173183147195172</v>
      </c>
      <c r="X28" s="4"/>
      <c r="Y28" s="4"/>
      <c r="Z28" s="4"/>
    </row>
    <row r="29" s="1" customFormat="true" ht="15" hidden="false" customHeight="false" outlineLevel="0" collapsed="false">
      <c r="B29" s="2"/>
      <c r="D29" s="15"/>
      <c r="E29" s="3" t="n">
        <v>142</v>
      </c>
      <c r="F29" s="15" t="n">
        <v>10</v>
      </c>
      <c r="G29" s="15" t="n">
        <v>5</v>
      </c>
      <c r="H29" s="15" t="n">
        <v>5</v>
      </c>
      <c r="I29" s="15" t="n">
        <v>550</v>
      </c>
      <c r="J29" s="15" t="n">
        <f aca="false">I29^2/H29</f>
        <v>60500</v>
      </c>
      <c r="K29" s="5" t="n">
        <f aca="false">H29/eff</f>
        <v>6.66666666666667</v>
      </c>
      <c r="L29" s="4" t="n">
        <f aca="false">F29^2*Dmax^2/(2*fs*H29)</f>
        <v>4.05E-005</v>
      </c>
      <c r="M29" s="1" t="n">
        <f aca="false">SQRT(2*fs*Lp*H29)/F29</f>
        <v>0.133041346956501</v>
      </c>
      <c r="N29" s="1" t="n">
        <f aca="false">F29*M29/(I29*(1-M29))</f>
        <v>0.00279013719112844</v>
      </c>
      <c r="O29" s="5" t="n">
        <f aca="false">SQRT(2*H29/(fs*Lp))</f>
        <v>7.51646028002829</v>
      </c>
      <c r="P29" s="1" t="n">
        <f aca="false">H29/(F29*eff)</f>
        <v>0.666666666666667</v>
      </c>
      <c r="Q29" s="1" t="n">
        <f aca="false">O29*SQRT(M29/3)</f>
        <v>1.58287294499888</v>
      </c>
      <c r="R29" s="1" t="n">
        <f aca="false">H29/I29</f>
        <v>0.00909090909090909</v>
      </c>
      <c r="S29" s="1" t="n">
        <f aca="false">SQRT(2*R29*n*O29/3)</f>
        <v>0.0478782096252927</v>
      </c>
      <c r="T29" s="4" t="n">
        <f aca="false">0.5*Lp*O29^2</f>
        <v>0.0001</v>
      </c>
      <c r="U29" s="1" t="n">
        <f aca="false">F29*M29/(n*I29)</f>
        <v>0.0480703808042191</v>
      </c>
      <c r="V29" s="4" t="n">
        <f aca="false">(n*O29-R29)*U29/(fs*n*O29)</f>
        <v>9.38300000977756E-007</v>
      </c>
      <c r="W29" s="4" t="n">
        <f aca="false">(n*O29-R29)*V29/(2*Cout)</f>
        <v>0.0173183147195172</v>
      </c>
      <c r="X29" s="4"/>
      <c r="Y29" s="4"/>
      <c r="Z29" s="4"/>
    </row>
    <row r="30" s="1" customFormat="true" ht="15" hidden="false" customHeight="false" outlineLevel="0" collapsed="false">
      <c r="B30" s="2"/>
      <c r="D30" s="15"/>
      <c r="E30" s="3" t="n">
        <v>143</v>
      </c>
      <c r="F30" s="15" t="n">
        <v>12</v>
      </c>
      <c r="G30" s="15" t="n">
        <v>5</v>
      </c>
      <c r="H30" s="15" t="n">
        <v>5</v>
      </c>
      <c r="I30" s="15" t="n">
        <v>550</v>
      </c>
      <c r="J30" s="15" t="n">
        <f aca="false">I30^2/H30</f>
        <v>60500</v>
      </c>
      <c r="K30" s="5" t="n">
        <f aca="false">H30/eff</f>
        <v>6.66666666666667</v>
      </c>
      <c r="L30" s="4" t="n">
        <f aca="false">F30^2*Dmax^2/(2*fs*H30)</f>
        <v>5.832E-005</v>
      </c>
      <c r="M30" s="1" t="n">
        <f aca="false">SQRT(2*fs*Lp*H30)/F30</f>
        <v>0.110867789130417</v>
      </c>
      <c r="N30" s="1" t="n">
        <f aca="false">F30*M30/(I30*(1-M30))</f>
        <v>0.00272055556131696</v>
      </c>
      <c r="O30" s="5" t="n">
        <f aca="false">SQRT(2*H30/(fs*Lp))</f>
        <v>7.51646028002829</v>
      </c>
      <c r="P30" s="1" t="n">
        <f aca="false">H30/(F30*eff)</f>
        <v>0.555555555555556</v>
      </c>
      <c r="Q30" s="1" t="n">
        <f aca="false">O30*SQRT(M30/3)</f>
        <v>1.44495869606754</v>
      </c>
      <c r="R30" s="1" t="n">
        <f aca="false">H30/I30</f>
        <v>0.00909090909090909</v>
      </c>
      <c r="S30" s="1" t="n">
        <f aca="false">SQRT(2*R30*n*O30/3)</f>
        <v>0.0478782096252927</v>
      </c>
      <c r="T30" s="4" t="n">
        <f aca="false">0.5*Lp*O30^2</f>
        <v>0.0001</v>
      </c>
      <c r="U30" s="1" t="n">
        <f aca="false">F30*M30/(n*I30)</f>
        <v>0.0480703808042191</v>
      </c>
      <c r="V30" s="4" t="n">
        <f aca="false">(n*O30-R30)*U30/(fs*n*O30)</f>
        <v>9.38300000977756E-007</v>
      </c>
      <c r="W30" s="4" t="n">
        <f aca="false">(n*O30-R30)*V30/(2*Cout)</f>
        <v>0.0173183147195172</v>
      </c>
      <c r="X30" s="4"/>
      <c r="Y30" s="4"/>
      <c r="Z30" s="4"/>
    </row>
    <row r="31" s="1" customFormat="true" ht="15" hidden="false" customHeight="false" outlineLevel="0" collapsed="false">
      <c r="B31" s="2"/>
      <c r="D31" s="15"/>
      <c r="E31" s="3" t="n">
        <v>145</v>
      </c>
      <c r="F31" s="15" t="n">
        <v>18</v>
      </c>
      <c r="G31" s="15" t="n">
        <v>5</v>
      </c>
      <c r="H31" s="15" t="n">
        <v>5</v>
      </c>
      <c r="I31" s="15" t="n">
        <v>550</v>
      </c>
      <c r="J31" s="15" t="n">
        <f aca="false">I31^2/H31</f>
        <v>60500</v>
      </c>
      <c r="K31" s="5" t="n">
        <f aca="false">H31/eff</f>
        <v>6.66666666666667</v>
      </c>
      <c r="L31" s="4" t="n">
        <f aca="false">F31^2*Dmax^2/(2*fs*H31)</f>
        <v>0.00013122</v>
      </c>
      <c r="M31" s="1" t="n">
        <f aca="false">SQRT(2*fs*Lp*H31)/F31</f>
        <v>0.0739118594202782</v>
      </c>
      <c r="N31" s="1" t="n">
        <f aca="false">F31*M31/(I31*(1-M31))</f>
        <v>0.00261199066809457</v>
      </c>
      <c r="O31" s="5" t="n">
        <f aca="false">SQRT(2*H31/(fs*Lp))</f>
        <v>7.51646028002829</v>
      </c>
      <c r="P31" s="1" t="n">
        <f aca="false">H31/(F31*eff)</f>
        <v>0.37037037037037</v>
      </c>
      <c r="Q31" s="1" t="n">
        <f aca="false">O31*SQRT(M31/3)</f>
        <v>1.17980383492093</v>
      </c>
      <c r="R31" s="1" t="n">
        <f aca="false">H31/I31</f>
        <v>0.00909090909090909</v>
      </c>
      <c r="S31" s="1" t="n">
        <f aca="false">SQRT(2*R31*n*O31/3)</f>
        <v>0.0478782096252927</v>
      </c>
      <c r="T31" s="4" t="n">
        <f aca="false">0.5*Lp*O31^2</f>
        <v>0.0001</v>
      </c>
      <c r="U31" s="1" t="n">
        <f aca="false">F31*M31/(n*I31)</f>
        <v>0.0480703808042191</v>
      </c>
      <c r="V31" s="4" t="n">
        <f aca="false">(n*O31-R31)*U31/(fs*n*O31)</f>
        <v>9.38300000977756E-007</v>
      </c>
      <c r="W31" s="4" t="n">
        <f aca="false">(n*O31-R31)*V31/(2*Cout)</f>
        <v>0.0173183147195172</v>
      </c>
      <c r="X31" s="4"/>
      <c r="Y31" s="4"/>
      <c r="Z31" s="4"/>
    </row>
    <row r="32" s="1" customFormat="true" ht="15" hidden="false" customHeight="false" outlineLevel="0" collapsed="false">
      <c r="B32" s="2"/>
      <c r="D32" s="15"/>
      <c r="E32" s="3" t="n">
        <v>146</v>
      </c>
      <c r="F32" s="15" t="n">
        <v>20</v>
      </c>
      <c r="G32" s="15" t="n">
        <v>5</v>
      </c>
      <c r="H32" s="15" t="n">
        <v>5</v>
      </c>
      <c r="I32" s="15" t="n">
        <v>550</v>
      </c>
      <c r="J32" s="15" t="n">
        <f aca="false">I32^2/H32</f>
        <v>60500</v>
      </c>
      <c r="K32" s="5" t="n">
        <f aca="false">H32/eff</f>
        <v>6.66666666666667</v>
      </c>
      <c r="L32" s="4" t="n">
        <f aca="false">F32^2*Dmax^2/(2*fs*H32)</f>
        <v>0.000162</v>
      </c>
      <c r="M32" s="1" t="n">
        <f aca="false">SQRT(2*fs*Lp*H32)/F32</f>
        <v>0.0665206734782504</v>
      </c>
      <c r="N32" s="1" t="n">
        <f aca="false">F32*M32/(I32*(1-M32))</f>
        <v>0.0025913092152137</v>
      </c>
      <c r="O32" s="5" t="n">
        <f aca="false">SQRT(2*H32/(fs*Lp))</f>
        <v>7.51646028002829</v>
      </c>
      <c r="P32" s="1" t="n">
        <f aca="false">H32/(F32*eff)</f>
        <v>0.333333333333333</v>
      </c>
      <c r="Q32" s="1" t="n">
        <f aca="false">O32*SQRT(M32/3)</f>
        <v>1.11926019316543</v>
      </c>
      <c r="R32" s="1" t="n">
        <f aca="false">H32/I32</f>
        <v>0.00909090909090909</v>
      </c>
      <c r="S32" s="1" t="n">
        <f aca="false">SQRT(2*R32*n*O32/3)</f>
        <v>0.0478782096252927</v>
      </c>
      <c r="T32" s="4" t="n">
        <f aca="false">0.5*Lp*O32^2</f>
        <v>0.0001</v>
      </c>
      <c r="U32" s="1" t="n">
        <f aca="false">F32*M32/(n*I32)</f>
        <v>0.0480703808042191</v>
      </c>
      <c r="V32" s="4" t="n">
        <f aca="false">(n*O32-R32)*U32/(fs*n*O32)</f>
        <v>9.38300000977756E-007</v>
      </c>
      <c r="W32" s="4" t="n">
        <f aca="false">(n*O32-R32)*V32/(2*Cout)</f>
        <v>0.0173183147195172</v>
      </c>
      <c r="X32" s="4"/>
      <c r="Y32" s="4"/>
      <c r="Z32" s="4"/>
    </row>
    <row r="33" s="1" customFormat="true" ht="15" hidden="false" customHeight="false" outlineLevel="0" collapsed="false">
      <c r="B33" s="2"/>
      <c r="D33" s="15"/>
      <c r="E33" s="3" t="n">
        <v>147</v>
      </c>
      <c r="F33" s="15" t="n">
        <v>24</v>
      </c>
      <c r="G33" s="15" t="n">
        <v>5</v>
      </c>
      <c r="H33" s="15" t="n">
        <v>5</v>
      </c>
      <c r="I33" s="15" t="n">
        <v>550</v>
      </c>
      <c r="J33" s="15" t="n">
        <f aca="false">I33^2/H33</f>
        <v>60500</v>
      </c>
      <c r="K33" s="5" t="n">
        <f aca="false">H33/eff</f>
        <v>6.66666666666667</v>
      </c>
      <c r="L33" s="4" t="n">
        <f aca="false">F33^2*Dmax^2/(2*fs*H33)</f>
        <v>0.00023328</v>
      </c>
      <c r="M33" s="1" t="n">
        <f aca="false">SQRT(2*fs*Lp*H33)/F33</f>
        <v>0.0554338945652086</v>
      </c>
      <c r="N33" s="1" t="n">
        <f aca="false">F33*M33/(I33*(1-M33))</f>
        <v>0.00256089390367637</v>
      </c>
      <c r="O33" s="5" t="n">
        <f aca="false">SQRT(2*H33/(fs*Lp))</f>
        <v>7.51646028002829</v>
      </c>
      <c r="P33" s="1" t="n">
        <f aca="false">H33/(F33*eff)</f>
        <v>0.277777777777778</v>
      </c>
      <c r="Q33" s="1" t="n">
        <f aca="false">O33*SQRT(M33/3)</f>
        <v>1.02174009252383</v>
      </c>
      <c r="R33" s="1" t="n">
        <f aca="false">H33/I33</f>
        <v>0.00909090909090909</v>
      </c>
      <c r="S33" s="1" t="n">
        <f aca="false">SQRT(2*R33*n*O33/3)</f>
        <v>0.0478782096252927</v>
      </c>
      <c r="T33" s="4" t="n">
        <f aca="false">0.5*Lp*O33^2</f>
        <v>0.0001</v>
      </c>
      <c r="U33" s="1" t="n">
        <f aca="false">F33*M33/(n*I33)</f>
        <v>0.0480703808042191</v>
      </c>
      <c r="V33" s="4" t="n">
        <f aca="false">(n*O33-R33)*U33/(fs*n*O33)</f>
        <v>9.38300000977756E-007</v>
      </c>
      <c r="W33" s="4" t="n">
        <f aca="false">(n*O33-R33)*V33/(2*Cout)</f>
        <v>0.0173183147195172</v>
      </c>
      <c r="X33" s="4"/>
      <c r="Y33" s="4"/>
      <c r="Z33" s="4"/>
      <c r="AD33" s="4"/>
      <c r="AF33" s="4"/>
    </row>
    <row r="34" s="1" customFormat="true" ht="15" hidden="false" customHeight="false" outlineLevel="0" collapsed="false">
      <c r="B34" s="2"/>
      <c r="D34" s="15"/>
      <c r="E34" s="3" t="n">
        <v>1</v>
      </c>
      <c r="F34" s="15" t="n">
        <v>9</v>
      </c>
      <c r="G34" s="15" t="n">
        <v>5</v>
      </c>
      <c r="H34" s="15" t="n">
        <v>5</v>
      </c>
      <c r="I34" s="15" t="n">
        <v>100</v>
      </c>
      <c r="J34" s="15" t="n">
        <f aca="false">I34^2/H34</f>
        <v>2000</v>
      </c>
      <c r="K34" s="5" t="n">
        <f aca="false">H34/eff</f>
        <v>6.66666666666667</v>
      </c>
      <c r="L34" s="4" t="n">
        <f aca="false">F34^2*Dmax^2/(2*fs*H34)</f>
        <v>3.2805E-005</v>
      </c>
      <c r="M34" s="1" t="n">
        <f aca="false">SQRT(2*fs*Lp*H34)/F34</f>
        <v>0.147823718840556</v>
      </c>
      <c r="N34" s="1" t="n">
        <f aca="false">F34*M34/(I34*(1-M34))</f>
        <v>0.0156119514116831</v>
      </c>
      <c r="O34" s="5" t="n">
        <f aca="false">SQRT(2*H34/(fs*Lp))</f>
        <v>7.51646028002829</v>
      </c>
      <c r="P34" s="1" t="n">
        <f aca="false">H34/(F34*eff)</f>
        <v>0.740740740740741</v>
      </c>
      <c r="Q34" s="1" t="n">
        <f aca="false">O34*SQRT(M34/3)</f>
        <v>1.66849458428496</v>
      </c>
      <c r="R34" s="1" t="n">
        <f aca="false">H34/I34</f>
        <v>0.05</v>
      </c>
      <c r="S34" s="1" t="n">
        <f aca="false">SQRT(2*R34*n*O34/3)</f>
        <v>0.112284354489301</v>
      </c>
      <c r="T34" s="4" t="n">
        <f aca="false">0.5*Lp*O34^2</f>
        <v>0.0001</v>
      </c>
      <c r="U34" s="1" t="n">
        <f aca="false">F34*M34/(n*I34)</f>
        <v>0.264387094423205</v>
      </c>
      <c r="V34" s="4" t="n">
        <f aca="false">(n*O34-R34)*U34/(fs*n*O34)</f>
        <v>4.58873653148865E-006</v>
      </c>
      <c r="W34" s="4" t="n">
        <f aca="false">(n*O34-R34)*V34/(2*Cout)</f>
        <v>0.0753088039501181</v>
      </c>
      <c r="X34" s="4"/>
      <c r="Y34" s="4"/>
      <c r="Z34" s="4"/>
      <c r="AF34" s="4"/>
    </row>
    <row r="35" s="1" customFormat="true" ht="15" hidden="false" customHeight="false" outlineLevel="0" collapsed="false">
      <c r="B35" s="2"/>
      <c r="D35" s="15"/>
      <c r="E35" s="3" t="n">
        <v>36</v>
      </c>
      <c r="F35" s="15" t="n">
        <v>9</v>
      </c>
      <c r="G35" s="15" t="n">
        <v>5</v>
      </c>
      <c r="H35" s="15" t="n">
        <v>5</v>
      </c>
      <c r="I35" s="15" t="n">
        <v>170</v>
      </c>
      <c r="J35" s="15" t="n">
        <f aca="false">I35^2/H35</f>
        <v>5780</v>
      </c>
      <c r="K35" s="5" t="n">
        <f aca="false">H35/eff</f>
        <v>6.66666666666667</v>
      </c>
      <c r="L35" s="4" t="n">
        <f aca="false">F35^2*Dmax^2/(2*fs*H35)</f>
        <v>3.2805E-005</v>
      </c>
      <c r="M35" s="1" t="n">
        <f aca="false">SQRT(2*fs*Lp*H35)/F35</f>
        <v>0.147823718840556</v>
      </c>
      <c r="N35" s="1" t="n">
        <f aca="false">F35*M35/(I35*(1-M35))</f>
        <v>0.00918350083040185</v>
      </c>
      <c r="O35" s="5" t="n">
        <f aca="false">SQRT(2*H35/(fs*Lp))</f>
        <v>7.51646028002829</v>
      </c>
      <c r="P35" s="1" t="n">
        <f aca="false">H35/(F35*eff)</f>
        <v>0.740740740740741</v>
      </c>
      <c r="Q35" s="1" t="n">
        <f aca="false">O35*SQRT(M35/3)</f>
        <v>1.66849458428496</v>
      </c>
      <c r="R35" s="1" t="n">
        <f aca="false">H35/I35</f>
        <v>0.0294117647058824</v>
      </c>
      <c r="S35" s="1" t="n">
        <f aca="false">SQRT(2*R35*n*O35/3)</f>
        <v>0.0861181686886212</v>
      </c>
      <c r="T35" s="4" t="n">
        <f aca="false">0.5*Lp*O35^2</f>
        <v>0.0001</v>
      </c>
      <c r="U35" s="1" t="n">
        <f aca="false">F35*M35/(n*I35)</f>
        <v>0.155521820248944</v>
      </c>
      <c r="V35" s="4" t="n">
        <f aca="false">(n*O35-R35)*U35/(fs*n*O35)</f>
        <v>2.86856603924343E-006</v>
      </c>
      <c r="W35" s="4" t="n">
        <f aca="false">(n*O35-R35)*V35/(2*Cout)</f>
        <v>0.0500308787584966</v>
      </c>
      <c r="X35" s="4"/>
      <c r="Y35" s="4"/>
      <c r="Z35" s="4"/>
      <c r="AF35" s="4"/>
    </row>
    <row r="36" s="1" customFormat="true" ht="15" hidden="false" customHeight="false" outlineLevel="0" collapsed="false">
      <c r="B36" s="2"/>
      <c r="D36" s="15"/>
      <c r="E36" s="3" t="n">
        <v>71</v>
      </c>
      <c r="F36" s="15" t="n">
        <v>9</v>
      </c>
      <c r="G36" s="15" t="n">
        <v>5</v>
      </c>
      <c r="H36" s="15" t="n">
        <v>5</v>
      </c>
      <c r="I36" s="15" t="n">
        <v>250</v>
      </c>
      <c r="J36" s="15" t="n">
        <f aca="false">I36^2/H36</f>
        <v>12500</v>
      </c>
      <c r="K36" s="5" t="n">
        <f aca="false">H36/eff</f>
        <v>6.66666666666667</v>
      </c>
      <c r="L36" s="4" t="n">
        <f aca="false">F36^2*Dmax^2/(2*fs*H36)</f>
        <v>3.2805E-005</v>
      </c>
      <c r="M36" s="1" t="n">
        <f aca="false">SQRT(2*fs*Lp*H36)/F36</f>
        <v>0.147823718840556</v>
      </c>
      <c r="N36" s="1" t="n">
        <f aca="false">F36*M36/(I36*(1-M36))</f>
        <v>0.00624478056467326</v>
      </c>
      <c r="O36" s="5" t="n">
        <f aca="false">SQRT(2*H36/(fs*Lp))</f>
        <v>7.51646028002829</v>
      </c>
      <c r="P36" s="1" t="n">
        <f aca="false">H36/(F36*eff)</f>
        <v>0.740740740740741</v>
      </c>
      <c r="Q36" s="1" t="n">
        <f aca="false">O36*SQRT(M36/3)</f>
        <v>1.66849458428496</v>
      </c>
      <c r="R36" s="1" t="n">
        <f aca="false">H36/I36</f>
        <v>0.02</v>
      </c>
      <c r="S36" s="1" t="n">
        <f aca="false">SQRT(2*R36*n*O36/3)</f>
        <v>0.0710148611575889</v>
      </c>
      <c r="T36" s="4" t="n">
        <f aca="false">0.5*Lp*O36^2</f>
        <v>0.0001</v>
      </c>
      <c r="U36" s="1" t="n">
        <f aca="false">F36*M36/(n*I36)</f>
        <v>0.105754837769282</v>
      </c>
      <c r="V36" s="4" t="n">
        <f aca="false">(n*O36-R36)*U36/(fs*n*O36)</f>
        <v>2.00325589826957E-006</v>
      </c>
      <c r="W36" s="4" t="n">
        <f aca="false">(n*O36-R36)*V36/(2*Cout)</f>
        <v>0.0358816473463448</v>
      </c>
      <c r="X36" s="4"/>
      <c r="Y36" s="4"/>
      <c r="Z36" s="4"/>
    </row>
    <row r="37" s="1" customFormat="true" ht="15" hidden="false" customHeight="false" outlineLevel="0" collapsed="false">
      <c r="B37" s="2"/>
      <c r="D37" s="15"/>
      <c r="E37" s="3" t="n">
        <v>106</v>
      </c>
      <c r="F37" s="15" t="n">
        <v>9</v>
      </c>
      <c r="G37" s="15" t="n">
        <v>5</v>
      </c>
      <c r="H37" s="15" t="n">
        <v>5</v>
      </c>
      <c r="I37" s="15" t="n">
        <v>400</v>
      </c>
      <c r="J37" s="15" t="n">
        <f aca="false">I37^2/H37</f>
        <v>32000</v>
      </c>
      <c r="K37" s="5" t="n">
        <f aca="false">H37/eff</f>
        <v>6.66666666666667</v>
      </c>
      <c r="L37" s="4" t="n">
        <f aca="false">F37^2*Dmax^2/(2*fs*H37)</f>
        <v>3.2805E-005</v>
      </c>
      <c r="M37" s="1" t="n">
        <f aca="false">SQRT(2*fs*Lp*H37)/F37</f>
        <v>0.147823718840556</v>
      </c>
      <c r="N37" s="1" t="n">
        <f aca="false">F37*M37/(I37*(1-M37))</f>
        <v>0.00390298785292079</v>
      </c>
      <c r="O37" s="5" t="n">
        <f aca="false">SQRT(2*H37/(fs*Lp))</f>
        <v>7.51646028002829</v>
      </c>
      <c r="P37" s="1" t="n">
        <f aca="false">H37/(F37*eff)</f>
        <v>0.740740740740741</v>
      </c>
      <c r="Q37" s="1" t="n">
        <f aca="false">O37*SQRT(M37/3)</f>
        <v>1.66849458428496</v>
      </c>
      <c r="R37" s="1" t="n">
        <f aca="false">H37/I37</f>
        <v>0.0125</v>
      </c>
      <c r="S37" s="1" t="n">
        <f aca="false">SQRT(2*R37*n*O37/3)</f>
        <v>0.0561421772446507</v>
      </c>
      <c r="T37" s="4" t="n">
        <f aca="false">0.5*Lp*O37^2</f>
        <v>0.0001</v>
      </c>
      <c r="U37" s="1" t="n">
        <f aca="false">F37*M37/(n*I37)</f>
        <v>0.0660967736058013</v>
      </c>
      <c r="V37" s="4" t="n">
        <f aca="false">(n*O37-R37)*U37/(fs*n*O37)</f>
        <v>1.27824763730506E-006</v>
      </c>
      <c r="W37" s="4" t="n">
        <f aca="false">(n*O37-R37)*V37/(2*Cout)</f>
        <v>0.0233748855566118</v>
      </c>
      <c r="X37" s="4"/>
      <c r="Y37" s="4"/>
      <c r="Z37" s="4"/>
    </row>
    <row r="38" s="1" customFormat="true" ht="15" hidden="false" customHeight="false" outlineLevel="0" collapsed="false">
      <c r="B38" s="2"/>
      <c r="D38" s="15"/>
      <c r="E38" s="3" t="n">
        <v>141</v>
      </c>
      <c r="F38" s="15" t="n">
        <v>9</v>
      </c>
      <c r="G38" s="15" t="n">
        <v>5</v>
      </c>
      <c r="H38" s="15" t="n">
        <v>5</v>
      </c>
      <c r="I38" s="15" t="n">
        <v>550</v>
      </c>
      <c r="J38" s="15" t="n">
        <f aca="false">I38^2/H38</f>
        <v>60500</v>
      </c>
      <c r="K38" s="5" t="n">
        <f aca="false">H38/eff</f>
        <v>6.66666666666667</v>
      </c>
      <c r="L38" s="4" t="n">
        <f aca="false">F38^2*Dmax^2/(2*fs*H38)</f>
        <v>3.2805E-005</v>
      </c>
      <c r="M38" s="1" t="n">
        <f aca="false">SQRT(2*fs*Lp*H38)/F38</f>
        <v>0.147823718840556</v>
      </c>
      <c r="N38" s="1" t="n">
        <f aca="false">F38*M38/(I38*(1-M38))</f>
        <v>0.00283853662030603</v>
      </c>
      <c r="O38" s="5" t="n">
        <f aca="false">SQRT(2*H38/(fs*Lp))</f>
        <v>7.51646028002829</v>
      </c>
      <c r="P38" s="1" t="n">
        <f aca="false">H38/(F38*eff)</f>
        <v>0.740740740740741</v>
      </c>
      <c r="Q38" s="1" t="n">
        <f aca="false">O38*SQRT(M38/3)</f>
        <v>1.66849458428496</v>
      </c>
      <c r="R38" s="1" t="n">
        <f aca="false">H38/I38</f>
        <v>0.00909090909090909</v>
      </c>
      <c r="S38" s="1" t="n">
        <f aca="false">SQRT(2*R38*n*O38/3)</f>
        <v>0.0478782096252927</v>
      </c>
      <c r="T38" s="4" t="n">
        <f aca="false">0.5*Lp*O38^2</f>
        <v>0.0001</v>
      </c>
      <c r="U38" s="1" t="n">
        <f aca="false">F38*M38/(n*I38)</f>
        <v>0.0480703808042191</v>
      </c>
      <c r="V38" s="4" t="n">
        <f aca="false">(n*O38-R38)*U38/(fs*n*O38)</f>
        <v>9.38300000977756E-007</v>
      </c>
      <c r="W38" s="4" t="n">
        <f aca="false">(n*O38-R38)*V38/(2*Cout)</f>
        <v>0.0173183147195172</v>
      </c>
      <c r="X38" s="4"/>
      <c r="Y38" s="4"/>
      <c r="Z38" s="4"/>
    </row>
    <row r="39" s="1" customFormat="true" ht="15" hidden="false" customHeight="false" outlineLevel="0" collapsed="false">
      <c r="B39" s="2"/>
      <c r="D39" s="15"/>
      <c r="E39" s="3" t="n">
        <v>8</v>
      </c>
      <c r="F39" s="15" t="n">
        <v>9</v>
      </c>
      <c r="G39" s="15" t="n">
        <v>20</v>
      </c>
      <c r="H39" s="15" t="n">
        <v>20</v>
      </c>
      <c r="I39" s="15" t="n">
        <v>100</v>
      </c>
      <c r="J39" s="15" t="n">
        <f aca="false">I39^2/H39</f>
        <v>500</v>
      </c>
      <c r="K39" s="5" t="n">
        <f aca="false">H39/eff</f>
        <v>26.6666666666667</v>
      </c>
      <c r="L39" s="4" t="n">
        <f aca="false">F39^2*Dmax^2/(2*fs*H39)</f>
        <v>8.20125E-006</v>
      </c>
      <c r="M39" s="1" t="n">
        <f aca="false">SQRT(2*fs*Lp*H39)/F39</f>
        <v>0.295647437681113</v>
      </c>
      <c r="N39" s="1" t="n">
        <f aca="false">F39*M39/(I39*(1-M39))</f>
        <v>0.0377769185700123</v>
      </c>
      <c r="O39" s="5" t="n">
        <f aca="false">SQRT(2*H39/(fs*Lp))</f>
        <v>15.0329205600566</v>
      </c>
      <c r="P39" s="1" t="n">
        <f aca="false">H39/(F39*eff)</f>
        <v>2.96296296296296</v>
      </c>
      <c r="Q39" s="1" t="n">
        <f aca="false">O39*SQRT(M39/3)</f>
        <v>4.71921533968371</v>
      </c>
      <c r="R39" s="1" t="n">
        <f aca="false">H39/I39</f>
        <v>0.2</v>
      </c>
      <c r="S39" s="1" t="n">
        <f aca="false">SQRT(2*R39*n*O39/3)</f>
        <v>0.317588113922157</v>
      </c>
      <c r="T39" s="4" t="n">
        <f aca="false">0.5*Lp*O39^2</f>
        <v>0.0004</v>
      </c>
      <c r="U39" s="1" t="n">
        <f aca="false">F39*M39/(n*I39)</f>
        <v>0.52877418884641</v>
      </c>
      <c r="V39" s="4" t="n">
        <f aca="false">(n*O39-R39)*U39/(fs*n*O39)</f>
        <v>7.77946234902641E-006</v>
      </c>
      <c r="W39" s="4" t="n">
        <f aca="false">(n*O39-R39)*V39/(2*Cout)</f>
        <v>0.216450538740454</v>
      </c>
      <c r="X39" s="4"/>
      <c r="Y39" s="4"/>
      <c r="Z39" s="4"/>
    </row>
    <row r="40" s="1" customFormat="true" ht="15" hidden="false" customHeight="false" outlineLevel="0" collapsed="false">
      <c r="B40" s="2"/>
      <c r="D40" s="15"/>
      <c r="E40" s="3" t="n">
        <v>9</v>
      </c>
      <c r="F40" s="15" t="n">
        <v>10</v>
      </c>
      <c r="G40" s="15" t="n">
        <v>20</v>
      </c>
      <c r="H40" s="15" t="n">
        <v>20</v>
      </c>
      <c r="I40" s="15" t="n">
        <v>100</v>
      </c>
      <c r="J40" s="15" t="n">
        <f aca="false">I40^2/H40</f>
        <v>500</v>
      </c>
      <c r="K40" s="5" t="n">
        <f aca="false">H40/eff</f>
        <v>26.6666666666667</v>
      </c>
      <c r="L40" s="4" t="n">
        <f aca="false">F40^2*Dmax^2/(2*fs*H40)</f>
        <v>1.0125E-005</v>
      </c>
      <c r="M40" s="1" t="n">
        <f aca="false">SQRT(2*fs*Lp*H40)/F40</f>
        <v>0.266082693913001</v>
      </c>
      <c r="N40" s="1" t="n">
        <f aca="false">F40*M40/(I40*(1-M40))</f>
        <v>0.0362551327930479</v>
      </c>
      <c r="O40" s="5" t="n">
        <f aca="false">SQRT(2*H40/(fs*Lp))</f>
        <v>15.0329205600566</v>
      </c>
      <c r="P40" s="1" t="n">
        <f aca="false">H40/(F40*eff)</f>
        <v>2.66666666666667</v>
      </c>
      <c r="Q40" s="1" t="n">
        <f aca="false">O40*SQRT(M40/3)</f>
        <v>4.47704077266172</v>
      </c>
      <c r="R40" s="1" t="n">
        <f aca="false">H40/I40</f>
        <v>0.2</v>
      </c>
      <c r="S40" s="1" t="n">
        <f aca="false">SQRT(2*R40*n*O40/3)</f>
        <v>0.317588113922157</v>
      </c>
      <c r="T40" s="4" t="n">
        <f aca="false">0.5*Lp*O40^2</f>
        <v>0.0004</v>
      </c>
      <c r="U40" s="1" t="n">
        <f aca="false">F40*M40/(n*I40)</f>
        <v>0.52877418884641</v>
      </c>
      <c r="V40" s="4" t="n">
        <f aca="false">(n*O40-R40)*U40/(fs*n*O40)</f>
        <v>7.77946234902641E-006</v>
      </c>
      <c r="W40" s="4" t="n">
        <f aca="false">(n*O40-R40)*V40/(2*Cout)</f>
        <v>0.216450538740454</v>
      </c>
      <c r="X40" s="4"/>
      <c r="Y40" s="4"/>
      <c r="Z40" s="4"/>
    </row>
    <row r="41" s="1" customFormat="true" ht="15" hidden="false" customHeight="false" outlineLevel="0" collapsed="false">
      <c r="B41" s="2"/>
      <c r="D41" s="15"/>
      <c r="E41" s="3" t="n">
        <v>10</v>
      </c>
      <c r="F41" s="15" t="n">
        <v>12</v>
      </c>
      <c r="G41" s="15" t="n">
        <v>20</v>
      </c>
      <c r="H41" s="15" t="n">
        <v>20</v>
      </c>
      <c r="I41" s="15" t="n">
        <v>100</v>
      </c>
      <c r="J41" s="15" t="n">
        <f aca="false">I41^2/H41</f>
        <v>500</v>
      </c>
      <c r="K41" s="5" t="n">
        <f aca="false">H41/eff</f>
        <v>26.6666666666667</v>
      </c>
      <c r="L41" s="4" t="n">
        <f aca="false">F41^2*Dmax^2/(2*fs*H41)</f>
        <v>1.458E-005</v>
      </c>
      <c r="M41" s="1" t="n">
        <f aca="false">SQRT(2*fs*Lp*H41)/F41</f>
        <v>0.221735578260835</v>
      </c>
      <c r="N41" s="1" t="n">
        <f aca="false">F41*M41/(I41*(1-M41))</f>
        <v>0.0341892403764769</v>
      </c>
      <c r="O41" s="5" t="n">
        <f aca="false">SQRT(2*H41/(fs*Lp))</f>
        <v>15.0329205600566</v>
      </c>
      <c r="P41" s="1" t="n">
        <f aca="false">H41/(F41*eff)</f>
        <v>2.22222222222222</v>
      </c>
      <c r="Q41" s="1" t="n">
        <f aca="false">O41*SQRT(M41/3)</f>
        <v>4.0869603700953</v>
      </c>
      <c r="R41" s="1" t="n">
        <f aca="false">H41/I41</f>
        <v>0.2</v>
      </c>
      <c r="S41" s="1" t="n">
        <f aca="false">SQRT(2*R41*n*O41/3)</f>
        <v>0.317588113922157</v>
      </c>
      <c r="T41" s="4" t="n">
        <f aca="false">0.5*Lp*O41^2</f>
        <v>0.0004</v>
      </c>
      <c r="U41" s="1" t="n">
        <f aca="false">F41*M41/(n*I41)</f>
        <v>0.52877418884641</v>
      </c>
      <c r="V41" s="4" t="n">
        <f aca="false">(n*O41-R41)*U41/(fs*n*O41)</f>
        <v>7.77946234902641E-006</v>
      </c>
      <c r="W41" s="4" t="n">
        <f aca="false">(n*O41-R41)*V41/(2*Cout)</f>
        <v>0.216450538740454</v>
      </c>
      <c r="X41" s="4"/>
      <c r="Y41" s="4"/>
      <c r="Z41" s="4"/>
    </row>
    <row r="42" s="1" customFormat="true" ht="15" hidden="false" customHeight="false" outlineLevel="0" collapsed="false">
      <c r="B42" s="2"/>
      <c r="D42" s="15"/>
      <c r="E42" s="3" t="n">
        <v>11</v>
      </c>
      <c r="F42" s="15" t="n">
        <v>15</v>
      </c>
      <c r="G42" s="15" t="n">
        <v>20</v>
      </c>
      <c r="H42" s="15" t="n">
        <v>20</v>
      </c>
      <c r="I42" s="15" t="n">
        <v>100</v>
      </c>
      <c r="J42" s="15" t="n">
        <f aca="false">I42^2/H42</f>
        <v>500</v>
      </c>
      <c r="K42" s="5" t="n">
        <f aca="false">H42/eff</f>
        <v>26.6666666666667</v>
      </c>
      <c r="L42" s="4" t="n">
        <f aca="false">F42^2*Dmax^2/(2*fs*H42)</f>
        <v>2.278125E-005</v>
      </c>
      <c r="M42" s="1" t="n">
        <f aca="false">SQRT(2*fs*Lp*H42)/F42</f>
        <v>0.177388462608668</v>
      </c>
      <c r="N42" s="1" t="n">
        <f aca="false">F42*M42/(I42*(1-M42))</f>
        <v>0.0323460931215241</v>
      </c>
      <c r="O42" s="5" t="n">
        <f aca="false">SQRT(2*H42/(fs*Lp))</f>
        <v>15.0329205600566</v>
      </c>
      <c r="P42" s="1" t="n">
        <f aca="false">H42/(F42*eff)</f>
        <v>1.77777777777778</v>
      </c>
      <c r="Q42" s="1" t="n">
        <f aca="false">O42*SQRT(M42/3)</f>
        <v>3.65548848355232</v>
      </c>
      <c r="R42" s="1" t="n">
        <f aca="false">H42/I42</f>
        <v>0.2</v>
      </c>
      <c r="S42" s="1" t="n">
        <f aca="false">SQRT(2*R42*n*O42/3)</f>
        <v>0.317588113922157</v>
      </c>
      <c r="T42" s="4" t="n">
        <f aca="false">0.5*Lp*O42^2</f>
        <v>0.0004</v>
      </c>
      <c r="U42" s="1" t="n">
        <f aca="false">F42*M42/(n*I42)</f>
        <v>0.52877418884641</v>
      </c>
      <c r="V42" s="4" t="n">
        <f aca="false">(n*O42-R42)*U42/(fs*n*O42)</f>
        <v>7.77946234902641E-006</v>
      </c>
      <c r="W42" s="4" t="n">
        <f aca="false">(n*O42-R42)*V42/(2*Cout)</f>
        <v>0.216450538740454</v>
      </c>
      <c r="X42" s="4"/>
      <c r="Y42" s="4"/>
      <c r="Z42" s="4"/>
    </row>
    <row r="43" s="1" customFormat="true" ht="15" hidden="false" customHeight="false" outlineLevel="0" collapsed="false">
      <c r="B43" s="2"/>
      <c r="D43" s="15"/>
      <c r="E43" s="3" t="n">
        <v>12</v>
      </c>
      <c r="F43" s="15" t="n">
        <v>18</v>
      </c>
      <c r="G43" s="15" t="n">
        <v>20</v>
      </c>
      <c r="H43" s="15" t="n">
        <v>20</v>
      </c>
      <c r="I43" s="15" t="n">
        <v>100</v>
      </c>
      <c r="J43" s="15" t="n">
        <f aca="false">I43^2/H43</f>
        <v>500</v>
      </c>
      <c r="K43" s="5" t="n">
        <f aca="false">H43/eff</f>
        <v>26.6666666666667</v>
      </c>
      <c r="L43" s="4" t="n">
        <f aca="false">F43^2*Dmax^2/(2*fs*H43)</f>
        <v>3.2805E-005</v>
      </c>
      <c r="M43" s="1" t="n">
        <f aca="false">SQRT(2*fs*Lp*H43)/F43</f>
        <v>0.147823718840556</v>
      </c>
      <c r="N43" s="1" t="n">
        <f aca="false">F43*M43/(I43*(1-M43))</f>
        <v>0.0312239028233663</v>
      </c>
      <c r="O43" s="5" t="n">
        <f aca="false">SQRT(2*H43/(fs*Lp))</f>
        <v>15.0329205600566</v>
      </c>
      <c r="P43" s="1" t="n">
        <f aca="false">H43/(F43*eff)</f>
        <v>1.48148148148148</v>
      </c>
      <c r="Q43" s="1" t="n">
        <f aca="false">O43*SQRT(M43/3)</f>
        <v>3.33698916856993</v>
      </c>
      <c r="R43" s="1" t="n">
        <f aca="false">H43/I43</f>
        <v>0.2</v>
      </c>
      <c r="S43" s="1" t="n">
        <f aca="false">SQRT(2*R43*n*O43/3)</f>
        <v>0.317588113922157</v>
      </c>
      <c r="T43" s="4" t="n">
        <f aca="false">0.5*Lp*O43^2</f>
        <v>0.0004</v>
      </c>
      <c r="U43" s="1" t="n">
        <f aca="false">F43*M43/(n*I43)</f>
        <v>0.52877418884641</v>
      </c>
      <c r="V43" s="4" t="n">
        <f aca="false">(n*O43-R43)*U43/(fs*n*O43)</f>
        <v>7.77946234902641E-006</v>
      </c>
      <c r="W43" s="4" t="n">
        <f aca="false">(n*O43-R43)*V43/(2*Cout)</f>
        <v>0.216450538740454</v>
      </c>
      <c r="X43" s="4"/>
      <c r="Y43" s="4"/>
      <c r="Z43" s="4"/>
    </row>
    <row r="44" s="1" customFormat="true" ht="15" hidden="false" customHeight="false" outlineLevel="0" collapsed="false">
      <c r="B44" s="2"/>
      <c r="D44" s="15"/>
      <c r="E44" s="3" t="n">
        <v>13</v>
      </c>
      <c r="F44" s="15" t="n">
        <v>20</v>
      </c>
      <c r="G44" s="15" t="n">
        <v>20</v>
      </c>
      <c r="H44" s="15" t="n">
        <v>20</v>
      </c>
      <c r="I44" s="15" t="n">
        <v>100</v>
      </c>
      <c r="J44" s="15" t="n">
        <f aca="false">I44^2/H44</f>
        <v>500</v>
      </c>
      <c r="K44" s="5" t="n">
        <f aca="false">H44/eff</f>
        <v>26.6666666666667</v>
      </c>
      <c r="L44" s="4" t="n">
        <f aca="false">F44^2*Dmax^2/(2*fs*H44)</f>
        <v>4.05E-005</v>
      </c>
      <c r="M44" s="1" t="n">
        <f aca="false">SQRT(2*fs*Lp*H44)/F44</f>
        <v>0.133041346956501</v>
      </c>
      <c r="N44" s="1" t="n">
        <f aca="false">F44*M44/(I44*(1-M44))</f>
        <v>0.0306915091024129</v>
      </c>
      <c r="O44" s="5" t="n">
        <f aca="false">SQRT(2*H44/(fs*Lp))</f>
        <v>15.0329205600566</v>
      </c>
      <c r="P44" s="1" t="n">
        <f aca="false">H44/(F44*eff)</f>
        <v>1.33333333333333</v>
      </c>
      <c r="Q44" s="1" t="n">
        <f aca="false">O44*SQRT(M44/3)</f>
        <v>3.16574588999776</v>
      </c>
      <c r="R44" s="1" t="n">
        <f aca="false">H44/I44</f>
        <v>0.2</v>
      </c>
      <c r="S44" s="1" t="n">
        <f aca="false">SQRT(2*R44*n*O44/3)</f>
        <v>0.317588113922157</v>
      </c>
      <c r="T44" s="4" t="n">
        <f aca="false">0.5*Lp*O44^2</f>
        <v>0.0004</v>
      </c>
      <c r="U44" s="1" t="n">
        <f aca="false">F44*M44/(n*I44)</f>
        <v>0.52877418884641</v>
      </c>
      <c r="V44" s="4" t="n">
        <f aca="false">(n*O44-R44)*U44/(fs*n*O44)</f>
        <v>7.77946234902641E-006</v>
      </c>
      <c r="W44" s="4" t="n">
        <f aca="false">(n*O44-R44)*V44/(2*Cout)</f>
        <v>0.216450538740454</v>
      </c>
      <c r="X44" s="4"/>
      <c r="Y44" s="4"/>
      <c r="Z44" s="4"/>
    </row>
    <row r="45" s="1" customFormat="true" ht="15" hidden="false" customHeight="false" outlineLevel="0" collapsed="false">
      <c r="B45" s="2"/>
      <c r="D45" s="15"/>
      <c r="E45" s="3" t="n">
        <v>14</v>
      </c>
      <c r="F45" s="15" t="n">
        <v>24</v>
      </c>
      <c r="G45" s="15" t="n">
        <v>20</v>
      </c>
      <c r="H45" s="15" t="n">
        <v>20</v>
      </c>
      <c r="I45" s="15" t="n">
        <v>100</v>
      </c>
      <c r="J45" s="15" t="n">
        <f aca="false">I45^2/H45</f>
        <v>500</v>
      </c>
      <c r="K45" s="5" t="n">
        <f aca="false">H45/eff</f>
        <v>26.6666666666667</v>
      </c>
      <c r="L45" s="4" t="n">
        <f aca="false">F45^2*Dmax^2/(2*fs*H45)</f>
        <v>5.832E-005</v>
      </c>
      <c r="M45" s="1" t="n">
        <f aca="false">SQRT(2*fs*Lp*H45)/F45</f>
        <v>0.110867789130417</v>
      </c>
      <c r="N45" s="1" t="n">
        <f aca="false">F45*M45/(I45*(1-M45))</f>
        <v>0.0299261111744865</v>
      </c>
      <c r="O45" s="5" t="n">
        <f aca="false">SQRT(2*H45/(fs*Lp))</f>
        <v>15.0329205600566</v>
      </c>
      <c r="P45" s="1" t="n">
        <f aca="false">H45/(F45*eff)</f>
        <v>1.11111111111111</v>
      </c>
      <c r="Q45" s="1" t="n">
        <f aca="false">O45*SQRT(M45/3)</f>
        <v>2.88991739213507</v>
      </c>
      <c r="R45" s="1" t="n">
        <f aca="false">H45/I45</f>
        <v>0.2</v>
      </c>
      <c r="S45" s="1" t="n">
        <f aca="false">SQRT(2*R45*n*O45/3)</f>
        <v>0.317588113922157</v>
      </c>
      <c r="T45" s="4" t="n">
        <f aca="false">0.5*Lp*O45^2</f>
        <v>0.0004</v>
      </c>
      <c r="U45" s="1" t="n">
        <f aca="false">F45*M45/(n*I45)</f>
        <v>0.52877418884641</v>
      </c>
      <c r="V45" s="4" t="n">
        <f aca="false">(n*O45-R45)*U45/(fs*n*O45)</f>
        <v>7.77946234902641E-006</v>
      </c>
      <c r="W45" s="4" t="n">
        <f aca="false">(n*O45-R45)*V45/(2*Cout)</f>
        <v>0.216450538740454</v>
      </c>
      <c r="X45" s="4"/>
      <c r="Y45" s="4"/>
      <c r="Z45" s="4"/>
    </row>
    <row r="46" s="1" customFormat="true" ht="15" hidden="false" customHeight="false" outlineLevel="0" collapsed="false">
      <c r="B46" s="2"/>
      <c r="D46" s="15"/>
      <c r="E46" s="3" t="n">
        <v>43</v>
      </c>
      <c r="F46" s="15" t="n">
        <v>9</v>
      </c>
      <c r="G46" s="15" t="n">
        <v>20</v>
      </c>
      <c r="H46" s="15" t="n">
        <v>20</v>
      </c>
      <c r="I46" s="15" t="n">
        <v>170</v>
      </c>
      <c r="J46" s="15" t="n">
        <f aca="false">I46^2/H46</f>
        <v>1445</v>
      </c>
      <c r="K46" s="5" t="n">
        <f aca="false">H46/eff</f>
        <v>26.6666666666667</v>
      </c>
      <c r="L46" s="4" t="n">
        <f aca="false">F46^2*Dmax^2/(2*fs*H46)</f>
        <v>8.20125E-006</v>
      </c>
      <c r="M46" s="1" t="n">
        <f aca="false">SQRT(2*fs*Lp*H46)/F46</f>
        <v>0.295647437681113</v>
      </c>
      <c r="N46" s="1" t="n">
        <f aca="false">F46*M46/(I46*(1-M46))</f>
        <v>0.0222217168058896</v>
      </c>
      <c r="O46" s="5" t="n">
        <f aca="false">SQRT(2*H46/(fs*Lp))</f>
        <v>15.0329205600566</v>
      </c>
      <c r="P46" s="1" t="n">
        <f aca="false">H46/(F46*eff)</f>
        <v>2.96296296296296</v>
      </c>
      <c r="Q46" s="1" t="n">
        <f aca="false">O46*SQRT(M46/3)</f>
        <v>4.71921533968371</v>
      </c>
      <c r="R46" s="1" t="n">
        <f aca="false">H46/I46</f>
        <v>0.117647058823529</v>
      </c>
      <c r="S46" s="1" t="n">
        <f aca="false">SQRT(2*R46*n*O46/3)</f>
        <v>0.243578964252364</v>
      </c>
      <c r="T46" s="4" t="n">
        <f aca="false">0.5*Lp*O46^2</f>
        <v>0.0004</v>
      </c>
      <c r="U46" s="1" t="n">
        <f aca="false">F46*M46/(n*I46)</f>
        <v>0.311043640497888</v>
      </c>
      <c r="V46" s="4" t="n">
        <f aca="false">(n*O46-R46)*U46/(fs*n*O46)</f>
        <v>5.25339134701597E-006</v>
      </c>
      <c r="W46" s="4" t="n">
        <f aca="false">(n*O46-R46)*V46/(2*Cout)</f>
        <v>0.167798446135449</v>
      </c>
      <c r="X46" s="4"/>
      <c r="Y46" s="4"/>
      <c r="Z46" s="4"/>
    </row>
    <row r="47" s="1" customFormat="true" ht="15" hidden="false" customHeight="false" outlineLevel="0" collapsed="false">
      <c r="B47" s="2"/>
      <c r="D47" s="15"/>
      <c r="E47" s="3" t="n">
        <v>44</v>
      </c>
      <c r="F47" s="15" t="n">
        <v>10</v>
      </c>
      <c r="G47" s="15" t="n">
        <v>20</v>
      </c>
      <c r="H47" s="15" t="n">
        <v>20</v>
      </c>
      <c r="I47" s="15" t="n">
        <v>170</v>
      </c>
      <c r="J47" s="15" t="n">
        <f aca="false">I47^2/H47</f>
        <v>1445</v>
      </c>
      <c r="K47" s="5" t="n">
        <f aca="false">H47/eff</f>
        <v>26.6666666666667</v>
      </c>
      <c r="L47" s="4" t="n">
        <f aca="false">F47^2*Dmax^2/(2*fs*H47)</f>
        <v>1.0125E-005</v>
      </c>
      <c r="M47" s="1" t="n">
        <f aca="false">SQRT(2*fs*Lp*H47)/F47</f>
        <v>0.266082693913001</v>
      </c>
      <c r="N47" s="1" t="n">
        <f aca="false">F47*M47/(I47*(1-M47))</f>
        <v>0.0213265487017929</v>
      </c>
      <c r="O47" s="5" t="n">
        <f aca="false">SQRT(2*H47/(fs*Lp))</f>
        <v>15.0329205600566</v>
      </c>
      <c r="P47" s="1" t="n">
        <f aca="false">H47/(F47*eff)</f>
        <v>2.66666666666667</v>
      </c>
      <c r="Q47" s="1" t="n">
        <f aca="false">O47*SQRT(M47/3)</f>
        <v>4.47704077266172</v>
      </c>
      <c r="R47" s="1" t="n">
        <f aca="false">H47/I47</f>
        <v>0.117647058823529</v>
      </c>
      <c r="S47" s="1" t="n">
        <f aca="false">SQRT(2*R47*n*O47/3)</f>
        <v>0.243578964252364</v>
      </c>
      <c r="T47" s="4" t="n">
        <f aca="false">0.5*Lp*O47^2</f>
        <v>0.0004</v>
      </c>
      <c r="U47" s="1" t="n">
        <f aca="false">F47*M47/(n*I47)</f>
        <v>0.311043640497888</v>
      </c>
      <c r="V47" s="4" t="n">
        <f aca="false">(n*O47-R47)*U47/(fs*n*O47)</f>
        <v>5.25339134701597E-006</v>
      </c>
      <c r="W47" s="4" t="n">
        <f aca="false">(n*O47-R47)*V47/(2*Cout)</f>
        <v>0.167798446135449</v>
      </c>
      <c r="X47" s="4"/>
      <c r="Y47" s="4"/>
      <c r="Z47" s="4"/>
    </row>
    <row r="48" s="1" customFormat="true" ht="15" hidden="false" customHeight="false" outlineLevel="0" collapsed="false">
      <c r="D48" s="15"/>
      <c r="E48" s="3" t="n">
        <v>45</v>
      </c>
      <c r="F48" s="15" t="n">
        <v>12</v>
      </c>
      <c r="G48" s="15" t="n">
        <v>20</v>
      </c>
      <c r="H48" s="15" t="n">
        <v>20</v>
      </c>
      <c r="I48" s="15" t="n">
        <v>170</v>
      </c>
      <c r="J48" s="15" t="n">
        <f aca="false">I48^2/H48</f>
        <v>1445</v>
      </c>
      <c r="K48" s="5" t="n">
        <f aca="false">H48/eff</f>
        <v>26.6666666666667</v>
      </c>
      <c r="L48" s="4" t="n">
        <f aca="false">F48^2*Dmax^2/(2*fs*H48)</f>
        <v>1.458E-005</v>
      </c>
      <c r="M48" s="1" t="n">
        <f aca="false">SQRT(2*fs*Lp*H48)/F48</f>
        <v>0.221735578260835</v>
      </c>
      <c r="N48" s="1" t="n">
        <f aca="false">F48*M48/(I48*(1-M48))</f>
        <v>0.0201113178685158</v>
      </c>
      <c r="O48" s="5" t="n">
        <f aca="false">SQRT(2*H48/(fs*Lp))</f>
        <v>15.0329205600566</v>
      </c>
      <c r="P48" s="1" t="n">
        <f aca="false">H48/(F48*eff)</f>
        <v>2.22222222222222</v>
      </c>
      <c r="Q48" s="1" t="n">
        <f aca="false">O48*SQRT(M48/3)</f>
        <v>4.0869603700953</v>
      </c>
      <c r="R48" s="1" t="n">
        <f aca="false">H48/I48</f>
        <v>0.117647058823529</v>
      </c>
      <c r="S48" s="1" t="n">
        <f aca="false">SQRT(2*R48*n*O48/3)</f>
        <v>0.243578964252364</v>
      </c>
      <c r="T48" s="4" t="n">
        <f aca="false">0.5*Lp*O48^2</f>
        <v>0.0004</v>
      </c>
      <c r="U48" s="1" t="n">
        <f aca="false">F48*M48/(n*I48)</f>
        <v>0.311043640497888</v>
      </c>
      <c r="V48" s="4" t="n">
        <f aca="false">(n*O48-R48)*U48/(fs*n*O48)</f>
        <v>5.25339134701597E-006</v>
      </c>
      <c r="W48" s="4" t="n">
        <f aca="false">(n*O48-R48)*V48/(2*Cout)</f>
        <v>0.167798446135449</v>
      </c>
      <c r="X48" s="4"/>
      <c r="Y48" s="4"/>
      <c r="Z48" s="4"/>
    </row>
    <row r="49" s="1" customFormat="true" ht="15" hidden="false" customHeight="false" outlineLevel="0" collapsed="false">
      <c r="D49" s="15"/>
      <c r="E49" s="3" t="n">
        <v>46</v>
      </c>
      <c r="F49" s="15" t="n">
        <v>15</v>
      </c>
      <c r="G49" s="15" t="n">
        <v>20</v>
      </c>
      <c r="H49" s="15" t="n">
        <v>20</v>
      </c>
      <c r="I49" s="15" t="n">
        <v>170</v>
      </c>
      <c r="J49" s="15" t="n">
        <f aca="false">I49^2/H49</f>
        <v>1445</v>
      </c>
      <c r="K49" s="5" t="n">
        <f aca="false">H49/eff</f>
        <v>26.6666666666667</v>
      </c>
      <c r="L49" s="4" t="n">
        <f aca="false">F49^2*Dmax^2/(2*fs*H49)</f>
        <v>2.278125E-005</v>
      </c>
      <c r="M49" s="1" t="n">
        <f aca="false">SQRT(2*fs*Lp*H49)/F49</f>
        <v>0.177388462608668</v>
      </c>
      <c r="N49" s="1" t="n">
        <f aca="false">F49*M49/(I49*(1-M49))</f>
        <v>0.0190271136008965</v>
      </c>
      <c r="O49" s="5" t="n">
        <f aca="false">SQRT(2*H49/(fs*Lp))</f>
        <v>15.0329205600566</v>
      </c>
      <c r="P49" s="1" t="n">
        <f aca="false">H49/(F49*eff)</f>
        <v>1.77777777777778</v>
      </c>
      <c r="Q49" s="1" t="n">
        <f aca="false">O49*SQRT(M49/3)</f>
        <v>3.65548848355232</v>
      </c>
      <c r="R49" s="1" t="n">
        <f aca="false">H49/I49</f>
        <v>0.117647058823529</v>
      </c>
      <c r="S49" s="1" t="n">
        <f aca="false">SQRT(2*R49*n*O49/3)</f>
        <v>0.243578964252364</v>
      </c>
      <c r="T49" s="4" t="n">
        <f aca="false">0.5*Lp*O49^2</f>
        <v>0.0004</v>
      </c>
      <c r="U49" s="1" t="n">
        <f aca="false">F49*M49/(n*I49)</f>
        <v>0.311043640497888</v>
      </c>
      <c r="V49" s="4" t="n">
        <f aca="false">(n*O49-R49)*U49/(fs*n*O49)</f>
        <v>5.25339134701597E-006</v>
      </c>
      <c r="W49" s="4" t="n">
        <f aca="false">(n*O49-R49)*V49/(2*Cout)</f>
        <v>0.167798446135449</v>
      </c>
      <c r="X49" s="4"/>
      <c r="Y49" s="4"/>
      <c r="Z49" s="4"/>
    </row>
    <row r="50" s="1" customFormat="true" ht="15" hidden="false" customHeight="false" outlineLevel="0" collapsed="false">
      <c r="D50" s="15"/>
      <c r="E50" s="3" t="n">
        <v>47</v>
      </c>
      <c r="F50" s="15" t="n">
        <v>18</v>
      </c>
      <c r="G50" s="15" t="n">
        <v>20</v>
      </c>
      <c r="H50" s="15" t="n">
        <v>20</v>
      </c>
      <c r="I50" s="15" t="n">
        <v>170</v>
      </c>
      <c r="J50" s="15" t="n">
        <f aca="false">I50^2/H50</f>
        <v>1445</v>
      </c>
      <c r="K50" s="5" t="n">
        <f aca="false">H50/eff</f>
        <v>26.6666666666667</v>
      </c>
      <c r="L50" s="4" t="n">
        <f aca="false">F50^2*Dmax^2/(2*fs*H50)</f>
        <v>3.2805E-005</v>
      </c>
      <c r="M50" s="1" t="n">
        <f aca="false">SQRT(2*fs*Lp*H50)/F50</f>
        <v>0.147823718840556</v>
      </c>
      <c r="N50" s="1" t="n">
        <f aca="false">F50*M50/(I50*(1-M50))</f>
        <v>0.0183670016608037</v>
      </c>
      <c r="O50" s="5" t="n">
        <f aca="false">SQRT(2*H50/(fs*Lp))</f>
        <v>15.0329205600566</v>
      </c>
      <c r="P50" s="1" t="n">
        <f aca="false">H50/(F50*eff)</f>
        <v>1.48148148148148</v>
      </c>
      <c r="Q50" s="1" t="n">
        <f aca="false">O50*SQRT(M50/3)</f>
        <v>3.33698916856993</v>
      </c>
      <c r="R50" s="1" t="n">
        <f aca="false">H50/I50</f>
        <v>0.117647058823529</v>
      </c>
      <c r="S50" s="1" t="n">
        <f aca="false">SQRT(2*R50*n*O50/3)</f>
        <v>0.243578964252364</v>
      </c>
      <c r="T50" s="4" t="n">
        <f aca="false">0.5*Lp*O50^2</f>
        <v>0.0004</v>
      </c>
      <c r="U50" s="1" t="n">
        <f aca="false">F50*M50/(n*I50)</f>
        <v>0.311043640497888</v>
      </c>
      <c r="V50" s="4" t="n">
        <f aca="false">(n*O50-R50)*U50/(fs*n*O50)</f>
        <v>5.25339134701597E-006</v>
      </c>
      <c r="W50" s="4" t="n">
        <f aca="false">(n*O50-R50)*V50/(2*Cout)</f>
        <v>0.167798446135449</v>
      </c>
      <c r="X50" s="4"/>
      <c r="Y50" s="4"/>
      <c r="Z50" s="4"/>
    </row>
    <row r="51" s="1" customFormat="true" ht="15" hidden="false" customHeight="false" outlineLevel="0" collapsed="false">
      <c r="D51" s="15"/>
      <c r="E51" s="3" t="n">
        <v>48</v>
      </c>
      <c r="F51" s="15" t="n">
        <v>20</v>
      </c>
      <c r="G51" s="15" t="n">
        <v>20</v>
      </c>
      <c r="H51" s="15" t="n">
        <v>20</v>
      </c>
      <c r="I51" s="15" t="n">
        <v>170</v>
      </c>
      <c r="J51" s="15" t="n">
        <f aca="false">I51^2/H51</f>
        <v>1445</v>
      </c>
      <c r="K51" s="5" t="n">
        <f aca="false">H51/eff</f>
        <v>26.6666666666667</v>
      </c>
      <c r="L51" s="4" t="n">
        <f aca="false">F51^2*Dmax^2/(2*fs*H51)</f>
        <v>4.05E-005</v>
      </c>
      <c r="M51" s="1" t="n">
        <f aca="false">SQRT(2*fs*Lp*H51)/F51</f>
        <v>0.133041346956501</v>
      </c>
      <c r="N51" s="1" t="n">
        <f aca="false">F51*M51/(I51*(1-M51))</f>
        <v>0.0180538288837723</v>
      </c>
      <c r="O51" s="5" t="n">
        <f aca="false">SQRT(2*H51/(fs*Lp))</f>
        <v>15.0329205600566</v>
      </c>
      <c r="P51" s="1" t="n">
        <f aca="false">H51/(F51*eff)</f>
        <v>1.33333333333333</v>
      </c>
      <c r="Q51" s="1" t="n">
        <f aca="false">O51*SQRT(M51/3)</f>
        <v>3.16574588999776</v>
      </c>
      <c r="R51" s="1" t="n">
        <f aca="false">H51/I51</f>
        <v>0.117647058823529</v>
      </c>
      <c r="S51" s="1" t="n">
        <f aca="false">SQRT(2*R51*n*O51/3)</f>
        <v>0.243578964252364</v>
      </c>
      <c r="T51" s="4" t="n">
        <f aca="false">0.5*Lp*O51^2</f>
        <v>0.0004</v>
      </c>
      <c r="U51" s="1" t="n">
        <f aca="false">F51*M51/(n*I51)</f>
        <v>0.311043640497888</v>
      </c>
      <c r="V51" s="4" t="n">
        <f aca="false">(n*O51-R51)*U51/(fs*n*O51)</f>
        <v>5.25339134701597E-006</v>
      </c>
      <c r="W51" s="4" t="n">
        <f aca="false">(n*O51-R51)*V51/(2*Cout)</f>
        <v>0.167798446135449</v>
      </c>
      <c r="X51" s="4"/>
      <c r="Y51" s="4"/>
      <c r="Z51" s="4"/>
    </row>
    <row r="52" s="1" customFormat="true" ht="15" hidden="false" customHeight="false" outlineLevel="0" collapsed="false">
      <c r="D52" s="15"/>
      <c r="E52" s="3" t="n">
        <v>49</v>
      </c>
      <c r="F52" s="15" t="n">
        <v>24</v>
      </c>
      <c r="G52" s="15" t="n">
        <v>20</v>
      </c>
      <c r="H52" s="15" t="n">
        <v>20</v>
      </c>
      <c r="I52" s="15" t="n">
        <v>170</v>
      </c>
      <c r="J52" s="15" t="n">
        <f aca="false">I52^2/H52</f>
        <v>1445</v>
      </c>
      <c r="K52" s="5" t="n">
        <f aca="false">H52/eff</f>
        <v>26.6666666666667</v>
      </c>
      <c r="L52" s="4" t="n">
        <f aca="false">F52^2*Dmax^2/(2*fs*H52)</f>
        <v>5.832E-005</v>
      </c>
      <c r="M52" s="1" t="n">
        <f aca="false">SQRT(2*fs*Lp*H52)/F52</f>
        <v>0.110867789130417</v>
      </c>
      <c r="N52" s="1" t="n">
        <f aca="false">F52*M52/(I52*(1-M52))</f>
        <v>0.0176035948085215</v>
      </c>
      <c r="O52" s="5" t="n">
        <f aca="false">SQRT(2*H52/(fs*Lp))</f>
        <v>15.0329205600566</v>
      </c>
      <c r="P52" s="1" t="n">
        <f aca="false">H52/(F52*eff)</f>
        <v>1.11111111111111</v>
      </c>
      <c r="Q52" s="1" t="n">
        <f aca="false">O52*SQRT(M52/3)</f>
        <v>2.88991739213507</v>
      </c>
      <c r="R52" s="1" t="n">
        <f aca="false">H52/I52</f>
        <v>0.117647058823529</v>
      </c>
      <c r="S52" s="1" t="n">
        <f aca="false">SQRT(2*R52*n*O52/3)</f>
        <v>0.243578964252364</v>
      </c>
      <c r="T52" s="4" t="n">
        <f aca="false">0.5*Lp*O52^2</f>
        <v>0.0004</v>
      </c>
      <c r="U52" s="1" t="n">
        <f aca="false">F52*M52/(n*I52)</f>
        <v>0.311043640497888</v>
      </c>
      <c r="V52" s="4" t="n">
        <f aca="false">(n*O52-R52)*U52/(fs*n*O52)</f>
        <v>5.25339134701597E-006</v>
      </c>
      <c r="W52" s="4" t="n">
        <f aca="false">(n*O52-R52)*V52/(2*Cout)</f>
        <v>0.167798446135449</v>
      </c>
      <c r="X52" s="4"/>
      <c r="Y52" s="4"/>
      <c r="Z52" s="4"/>
    </row>
    <row r="53" s="1" customFormat="true" ht="15" hidden="false" customHeight="false" outlineLevel="0" collapsed="false">
      <c r="D53" s="15"/>
      <c r="E53" s="3" t="n">
        <v>78</v>
      </c>
      <c r="F53" s="15" t="n">
        <v>9</v>
      </c>
      <c r="G53" s="15" t="n">
        <v>20</v>
      </c>
      <c r="H53" s="15" t="n">
        <v>20</v>
      </c>
      <c r="I53" s="15" t="n">
        <v>250</v>
      </c>
      <c r="J53" s="15" t="n">
        <f aca="false">I53^2/H53</f>
        <v>3125</v>
      </c>
      <c r="K53" s="5" t="n">
        <f aca="false">H53/eff</f>
        <v>26.6666666666667</v>
      </c>
      <c r="L53" s="4" t="n">
        <f aca="false">F53^2*Dmax^2/(2*fs*H53)</f>
        <v>8.20125E-006</v>
      </c>
      <c r="M53" s="1" t="n">
        <f aca="false">SQRT(2*fs*Lp*H53)/F53</f>
        <v>0.295647437681113</v>
      </c>
      <c r="N53" s="1" t="n">
        <f aca="false">F53*M53/(I53*(1-M53))</f>
        <v>0.0151107674280049</v>
      </c>
      <c r="O53" s="5" t="n">
        <f aca="false">SQRT(2*H53/(fs*Lp))</f>
        <v>15.0329205600566</v>
      </c>
      <c r="P53" s="1" t="n">
        <f aca="false">H53/(F53*eff)</f>
        <v>2.96296296296296</v>
      </c>
      <c r="Q53" s="1" t="n">
        <f aca="false">O53*SQRT(M53/3)</f>
        <v>4.71921533968371</v>
      </c>
      <c r="R53" s="1" t="n">
        <f aca="false">H53/I53</f>
        <v>0.08</v>
      </c>
      <c r="S53" s="1" t="n">
        <f aca="false">SQRT(2*R53*n*O53/3)</f>
        <v>0.200860359558209</v>
      </c>
      <c r="T53" s="4" t="n">
        <f aca="false">0.5*Lp*O53^2</f>
        <v>0.0004</v>
      </c>
      <c r="U53" s="1" t="n">
        <f aca="false">F53*M53/(n*I53)</f>
        <v>0.211509675538564</v>
      </c>
      <c r="V53" s="4" t="n">
        <f aca="false">(n*O53-R53)*U53/(fs*n*O53)</f>
        <v>3.78283008230699E-006</v>
      </c>
      <c r="W53" s="4" t="n">
        <f aca="false">(n*O53-R53)*V53/(2*Cout)</f>
        <v>0.127947905627687</v>
      </c>
      <c r="X53" s="4"/>
      <c r="Y53" s="4"/>
      <c r="Z53" s="4"/>
    </row>
    <row r="54" s="1" customFormat="true" ht="15" hidden="false" customHeight="false" outlineLevel="0" collapsed="false">
      <c r="D54" s="15"/>
      <c r="E54" s="3" t="n">
        <v>79</v>
      </c>
      <c r="F54" s="15" t="n">
        <v>10</v>
      </c>
      <c r="G54" s="15" t="n">
        <v>20</v>
      </c>
      <c r="H54" s="15" t="n">
        <v>20</v>
      </c>
      <c r="I54" s="15" t="n">
        <v>250</v>
      </c>
      <c r="J54" s="15" t="n">
        <f aca="false">I54^2/H54</f>
        <v>3125</v>
      </c>
      <c r="K54" s="5" t="n">
        <f aca="false">H54/eff</f>
        <v>26.6666666666667</v>
      </c>
      <c r="L54" s="4" t="n">
        <f aca="false">F54^2*Dmax^2/(2*fs*H54)</f>
        <v>1.0125E-005</v>
      </c>
      <c r="M54" s="1" t="n">
        <f aca="false">SQRT(2*fs*Lp*H54)/F54</f>
        <v>0.266082693913001</v>
      </c>
      <c r="N54" s="1" t="n">
        <f aca="false">F54*M54/(I54*(1-M54))</f>
        <v>0.0145020531172192</v>
      </c>
      <c r="O54" s="5" t="n">
        <f aca="false">SQRT(2*H54/(fs*Lp))</f>
        <v>15.0329205600566</v>
      </c>
      <c r="P54" s="1" t="n">
        <f aca="false">H54/(F54*eff)</f>
        <v>2.66666666666667</v>
      </c>
      <c r="Q54" s="1" t="n">
        <f aca="false">O54*SQRT(M54/3)</f>
        <v>4.47704077266172</v>
      </c>
      <c r="R54" s="1" t="n">
        <f aca="false">H54/I54</f>
        <v>0.08</v>
      </c>
      <c r="S54" s="1" t="n">
        <f aca="false">SQRT(2*R54*n*O54/3)</f>
        <v>0.200860359558209</v>
      </c>
      <c r="T54" s="4" t="n">
        <f aca="false">0.5*Lp*O54^2</f>
        <v>0.0004</v>
      </c>
      <c r="U54" s="1" t="n">
        <f aca="false">F54*M54/(n*I54)</f>
        <v>0.211509675538564</v>
      </c>
      <c r="V54" s="4" t="n">
        <f aca="false">(n*O54-R54)*U54/(fs*n*O54)</f>
        <v>3.782830082307E-006</v>
      </c>
      <c r="W54" s="4" t="n">
        <f aca="false">(n*O54-R54)*V54/(2*Cout)</f>
        <v>0.127947905627687</v>
      </c>
      <c r="X54" s="4"/>
      <c r="Y54" s="4"/>
      <c r="Z54" s="4"/>
    </row>
    <row r="55" s="1" customFormat="true" ht="15" hidden="false" customHeight="false" outlineLevel="0" collapsed="false">
      <c r="D55" s="15"/>
      <c r="E55" s="3" t="n">
        <v>80</v>
      </c>
      <c r="F55" s="15" t="n">
        <v>12</v>
      </c>
      <c r="G55" s="15" t="n">
        <v>20</v>
      </c>
      <c r="H55" s="15" t="n">
        <v>20</v>
      </c>
      <c r="I55" s="15" t="n">
        <v>250</v>
      </c>
      <c r="J55" s="15" t="n">
        <f aca="false">I55^2/H55</f>
        <v>3125</v>
      </c>
      <c r="K55" s="5" t="n">
        <f aca="false">H55/eff</f>
        <v>26.6666666666667</v>
      </c>
      <c r="L55" s="4" t="n">
        <f aca="false">F55^2*Dmax^2/(2*fs*H55)</f>
        <v>1.458E-005</v>
      </c>
      <c r="M55" s="1" t="n">
        <f aca="false">SQRT(2*fs*Lp*H55)/F55</f>
        <v>0.221735578260835</v>
      </c>
      <c r="N55" s="1" t="n">
        <f aca="false">F55*M55/(I55*(1-M55))</f>
        <v>0.0136756961505908</v>
      </c>
      <c r="O55" s="5" t="n">
        <f aca="false">SQRT(2*H55/(fs*Lp))</f>
        <v>15.0329205600566</v>
      </c>
      <c r="P55" s="1" t="n">
        <f aca="false">H55/(F55*eff)</f>
        <v>2.22222222222222</v>
      </c>
      <c r="Q55" s="1" t="n">
        <f aca="false">O55*SQRT(M55/3)</f>
        <v>4.0869603700953</v>
      </c>
      <c r="R55" s="1" t="n">
        <f aca="false">H55/I55</f>
        <v>0.08</v>
      </c>
      <c r="S55" s="1" t="n">
        <f aca="false">SQRT(2*R55*n*O55/3)</f>
        <v>0.200860359558209</v>
      </c>
      <c r="T55" s="4" t="n">
        <f aca="false">0.5*Lp*O55^2</f>
        <v>0.0004</v>
      </c>
      <c r="U55" s="1" t="n">
        <f aca="false">F55*M55/(n*I55)</f>
        <v>0.211509675538564</v>
      </c>
      <c r="V55" s="4" t="n">
        <f aca="false">(n*O55-R55)*U55/(fs*n*O55)</f>
        <v>3.782830082307E-006</v>
      </c>
      <c r="W55" s="4" t="n">
        <f aca="false">(n*O55-R55)*V55/(2*Cout)</f>
        <v>0.127947905627687</v>
      </c>
      <c r="X55" s="4"/>
      <c r="Y55" s="4"/>
      <c r="Z55" s="4"/>
    </row>
    <row r="56" s="1" customFormat="true" ht="15" hidden="false" customHeight="false" outlineLevel="0" collapsed="false">
      <c r="D56" s="15"/>
      <c r="E56" s="3" t="n">
        <v>81</v>
      </c>
      <c r="F56" s="15" t="n">
        <v>15</v>
      </c>
      <c r="G56" s="15" t="n">
        <v>20</v>
      </c>
      <c r="H56" s="15" t="n">
        <v>20</v>
      </c>
      <c r="I56" s="15" t="n">
        <v>250</v>
      </c>
      <c r="J56" s="15" t="n">
        <f aca="false">I56^2/H56</f>
        <v>3125</v>
      </c>
      <c r="K56" s="5" t="n">
        <f aca="false">H56/eff</f>
        <v>26.6666666666667</v>
      </c>
      <c r="L56" s="4" t="n">
        <f aca="false">F56^2*Dmax^2/(2*fs*H56)</f>
        <v>2.278125E-005</v>
      </c>
      <c r="M56" s="1" t="n">
        <f aca="false">SQRT(2*fs*Lp*H56)/F56</f>
        <v>0.177388462608668</v>
      </c>
      <c r="N56" s="1" t="n">
        <f aca="false">F56*M56/(I56*(1-M56))</f>
        <v>0.0129384372486096</v>
      </c>
      <c r="O56" s="5" t="n">
        <f aca="false">SQRT(2*H56/(fs*Lp))</f>
        <v>15.0329205600566</v>
      </c>
      <c r="P56" s="1" t="n">
        <f aca="false">H56/(F56*eff)</f>
        <v>1.77777777777778</v>
      </c>
      <c r="Q56" s="1" t="n">
        <f aca="false">O56*SQRT(M56/3)</f>
        <v>3.65548848355232</v>
      </c>
      <c r="R56" s="1" t="n">
        <f aca="false">H56/I56</f>
        <v>0.08</v>
      </c>
      <c r="S56" s="1" t="n">
        <f aca="false">SQRT(2*R56*n*O56/3)</f>
        <v>0.200860359558209</v>
      </c>
      <c r="T56" s="4" t="n">
        <f aca="false">0.5*Lp*O56^2</f>
        <v>0.0004</v>
      </c>
      <c r="U56" s="1" t="n">
        <f aca="false">F56*M56/(n*I56)</f>
        <v>0.211509675538564</v>
      </c>
      <c r="V56" s="4" t="n">
        <f aca="false">(n*O56-R56)*U56/(fs*n*O56)</f>
        <v>3.782830082307E-006</v>
      </c>
      <c r="W56" s="4" t="n">
        <f aca="false">(n*O56-R56)*V56/(2*Cout)</f>
        <v>0.127947905627687</v>
      </c>
      <c r="X56" s="4"/>
      <c r="Y56" s="4"/>
      <c r="Z56" s="4"/>
    </row>
    <row r="57" s="1" customFormat="true" ht="15" hidden="false" customHeight="false" outlineLevel="0" collapsed="false">
      <c r="D57" s="15"/>
      <c r="E57" s="3" t="n">
        <v>82</v>
      </c>
      <c r="F57" s="15" t="n">
        <v>18</v>
      </c>
      <c r="G57" s="15" t="n">
        <v>20</v>
      </c>
      <c r="H57" s="15" t="n">
        <v>20</v>
      </c>
      <c r="I57" s="15" t="n">
        <v>250</v>
      </c>
      <c r="J57" s="15" t="n">
        <f aca="false">I57^2/H57</f>
        <v>3125</v>
      </c>
      <c r="K57" s="5" t="n">
        <f aca="false">H57/eff</f>
        <v>26.6666666666667</v>
      </c>
      <c r="L57" s="4" t="n">
        <f aca="false">F57^2*Dmax^2/(2*fs*H57)</f>
        <v>3.2805E-005</v>
      </c>
      <c r="M57" s="1" t="n">
        <f aca="false">SQRT(2*fs*Lp*H57)/F57</f>
        <v>0.147823718840556</v>
      </c>
      <c r="N57" s="1" t="n">
        <f aca="false">F57*M57/(I57*(1-M57))</f>
        <v>0.0124895611293465</v>
      </c>
      <c r="O57" s="5" t="n">
        <f aca="false">SQRT(2*H57/(fs*Lp))</f>
        <v>15.0329205600566</v>
      </c>
      <c r="P57" s="1" t="n">
        <f aca="false">H57/(F57*eff)</f>
        <v>1.48148148148148</v>
      </c>
      <c r="Q57" s="1" t="n">
        <f aca="false">O57*SQRT(M57/3)</f>
        <v>3.33698916856993</v>
      </c>
      <c r="R57" s="1" t="n">
        <f aca="false">H57/I57</f>
        <v>0.08</v>
      </c>
      <c r="S57" s="1" t="n">
        <f aca="false">SQRT(2*R57*n*O57/3)</f>
        <v>0.200860359558209</v>
      </c>
      <c r="T57" s="4" t="n">
        <f aca="false">0.5*Lp*O57^2</f>
        <v>0.0004</v>
      </c>
      <c r="U57" s="1" t="n">
        <f aca="false">F57*M57/(n*I57)</f>
        <v>0.211509675538564</v>
      </c>
      <c r="V57" s="4" t="n">
        <f aca="false">(n*O57-R57)*U57/(fs*n*O57)</f>
        <v>3.78283008230699E-006</v>
      </c>
      <c r="W57" s="4" t="n">
        <f aca="false">(n*O57-R57)*V57/(2*Cout)</f>
        <v>0.127947905627687</v>
      </c>
      <c r="X57" s="4"/>
      <c r="Y57" s="4"/>
      <c r="Z57" s="4"/>
    </row>
    <row r="58" s="1" customFormat="true" ht="15" hidden="false" customHeight="false" outlineLevel="0" collapsed="false">
      <c r="D58" s="15"/>
      <c r="E58" s="3" t="n">
        <v>83</v>
      </c>
      <c r="F58" s="15" t="n">
        <v>20</v>
      </c>
      <c r="G58" s="15" t="n">
        <v>20</v>
      </c>
      <c r="H58" s="15" t="n">
        <v>20</v>
      </c>
      <c r="I58" s="15" t="n">
        <v>250</v>
      </c>
      <c r="J58" s="15" t="n">
        <f aca="false">I58^2/H58</f>
        <v>3125</v>
      </c>
      <c r="K58" s="5" t="n">
        <f aca="false">H58/eff</f>
        <v>26.6666666666667</v>
      </c>
      <c r="L58" s="4" t="n">
        <f aca="false">F58^2*Dmax^2/(2*fs*H58)</f>
        <v>4.05E-005</v>
      </c>
      <c r="M58" s="1" t="n">
        <f aca="false">SQRT(2*fs*Lp*H58)/F58</f>
        <v>0.133041346956501</v>
      </c>
      <c r="N58" s="1" t="n">
        <f aca="false">F58*M58/(I58*(1-M58))</f>
        <v>0.0122766036409651</v>
      </c>
      <c r="O58" s="5" t="n">
        <f aca="false">SQRT(2*H58/(fs*Lp))</f>
        <v>15.0329205600566</v>
      </c>
      <c r="P58" s="1" t="n">
        <f aca="false">H58/(F58*eff)</f>
        <v>1.33333333333333</v>
      </c>
      <c r="Q58" s="1" t="n">
        <f aca="false">O58*SQRT(M58/3)</f>
        <v>3.16574588999776</v>
      </c>
      <c r="R58" s="1" t="n">
        <f aca="false">H58/I58</f>
        <v>0.08</v>
      </c>
      <c r="S58" s="1" t="n">
        <f aca="false">SQRT(2*R58*n*O58/3)</f>
        <v>0.200860359558209</v>
      </c>
      <c r="T58" s="4" t="n">
        <f aca="false">0.5*Lp*O58^2</f>
        <v>0.0004</v>
      </c>
      <c r="U58" s="1" t="n">
        <f aca="false">F58*M58/(n*I58)</f>
        <v>0.211509675538564</v>
      </c>
      <c r="V58" s="4" t="n">
        <f aca="false">(n*O58-R58)*U58/(fs*n*O58)</f>
        <v>3.782830082307E-006</v>
      </c>
      <c r="W58" s="4" t="n">
        <f aca="false">(n*O58-R58)*V58/(2*Cout)</f>
        <v>0.127947905627687</v>
      </c>
      <c r="X58" s="4"/>
      <c r="Y58" s="4"/>
      <c r="Z58" s="4"/>
    </row>
    <row r="59" s="1" customFormat="true" ht="15" hidden="false" customHeight="false" outlineLevel="0" collapsed="false">
      <c r="D59" s="15"/>
      <c r="E59" s="3" t="n">
        <v>84</v>
      </c>
      <c r="F59" s="15" t="n">
        <v>24</v>
      </c>
      <c r="G59" s="15" t="n">
        <v>20</v>
      </c>
      <c r="H59" s="15" t="n">
        <v>20</v>
      </c>
      <c r="I59" s="15" t="n">
        <v>250</v>
      </c>
      <c r="J59" s="15" t="n">
        <f aca="false">I59^2/H59</f>
        <v>3125</v>
      </c>
      <c r="K59" s="5" t="n">
        <f aca="false">H59/eff</f>
        <v>26.6666666666667</v>
      </c>
      <c r="L59" s="4" t="n">
        <f aca="false">F59^2*Dmax^2/(2*fs*H59)</f>
        <v>5.832E-005</v>
      </c>
      <c r="M59" s="1" t="n">
        <f aca="false">SQRT(2*fs*Lp*H59)/F59</f>
        <v>0.110867789130417</v>
      </c>
      <c r="N59" s="1" t="n">
        <f aca="false">F59*M59/(I59*(1-M59))</f>
        <v>0.0119704444697946</v>
      </c>
      <c r="O59" s="5" t="n">
        <f aca="false">SQRT(2*H59/(fs*Lp))</f>
        <v>15.0329205600566</v>
      </c>
      <c r="P59" s="1" t="n">
        <f aca="false">H59/(F59*eff)</f>
        <v>1.11111111111111</v>
      </c>
      <c r="Q59" s="1" t="n">
        <f aca="false">O59*SQRT(M59/3)</f>
        <v>2.88991739213507</v>
      </c>
      <c r="R59" s="1" t="n">
        <f aca="false">H59/I59</f>
        <v>0.08</v>
      </c>
      <c r="S59" s="1" t="n">
        <f aca="false">SQRT(2*R59*n*O59/3)</f>
        <v>0.200860359558209</v>
      </c>
      <c r="T59" s="4" t="n">
        <f aca="false">0.5*Lp*O59^2</f>
        <v>0.0004</v>
      </c>
      <c r="U59" s="1" t="n">
        <f aca="false">F59*M59/(n*I59)</f>
        <v>0.211509675538564</v>
      </c>
      <c r="V59" s="4" t="n">
        <f aca="false">(n*O59-R59)*U59/(fs*n*O59)</f>
        <v>3.782830082307E-006</v>
      </c>
      <c r="W59" s="4" t="n">
        <f aca="false">(n*O59-R59)*V59/(2*Cout)</f>
        <v>0.127947905627687</v>
      </c>
      <c r="X59" s="4"/>
      <c r="Y59" s="4"/>
      <c r="Z59" s="4"/>
    </row>
    <row r="60" s="1" customFormat="true" ht="15" hidden="false" customHeight="false" outlineLevel="0" collapsed="false">
      <c r="D60" s="15"/>
      <c r="E60" s="3" t="n">
        <v>113</v>
      </c>
      <c r="F60" s="15" t="n">
        <v>9</v>
      </c>
      <c r="G60" s="15" t="n">
        <v>20</v>
      </c>
      <c r="H60" s="15" t="n">
        <v>20</v>
      </c>
      <c r="I60" s="15" t="n">
        <v>400</v>
      </c>
      <c r="J60" s="15" t="n">
        <f aca="false">I60^2/H60</f>
        <v>8000</v>
      </c>
      <c r="K60" s="5" t="n">
        <f aca="false">H60/eff</f>
        <v>26.6666666666667</v>
      </c>
      <c r="L60" s="4" t="n">
        <f aca="false">F60^2*Dmax^2/(2*fs*H60)</f>
        <v>8.20125E-006</v>
      </c>
      <c r="M60" s="1" t="n">
        <f aca="false">SQRT(2*fs*Lp*H60)/F60</f>
        <v>0.295647437681113</v>
      </c>
      <c r="N60" s="1" t="n">
        <f aca="false">F60*M60/(I60*(1-M60))</f>
        <v>0.00944422964250308</v>
      </c>
      <c r="O60" s="5" t="n">
        <f aca="false">SQRT(2*H60/(fs*Lp))</f>
        <v>15.0329205600566</v>
      </c>
      <c r="P60" s="1" t="n">
        <f aca="false">H60/(F60*eff)</f>
        <v>2.96296296296296</v>
      </c>
      <c r="Q60" s="1" t="n">
        <f aca="false">O60*SQRT(M60/3)</f>
        <v>4.71921533968371</v>
      </c>
      <c r="R60" s="1" t="n">
        <f aca="false">H60/I60</f>
        <v>0.05</v>
      </c>
      <c r="S60" s="1" t="n">
        <f aca="false">SQRT(2*R60*n*O60/3)</f>
        <v>0.158794056961078</v>
      </c>
      <c r="T60" s="4" t="n">
        <f aca="false">0.5*Lp*O60^2</f>
        <v>0.0004</v>
      </c>
      <c r="U60" s="1" t="n">
        <f aca="false">F60*M60/(n*I60)</f>
        <v>0.132193547211603</v>
      </c>
      <c r="V60" s="4" t="n">
        <f aca="false">(n*O60-R60)*U60/(fs*n*O60)</f>
        <v>2.46911960498819E-006</v>
      </c>
      <c r="W60" s="4" t="n">
        <f aca="false">(n*O60-R60)*V60/(2*Cout)</f>
        <v>0.0872175236269494</v>
      </c>
      <c r="X60" s="4"/>
      <c r="Y60" s="4"/>
      <c r="Z60" s="4"/>
    </row>
    <row r="61" s="1" customFormat="true" ht="15" hidden="false" customHeight="false" outlineLevel="0" collapsed="false">
      <c r="D61" s="15"/>
      <c r="E61" s="3" t="n">
        <v>114</v>
      </c>
      <c r="F61" s="15" t="n">
        <v>10</v>
      </c>
      <c r="G61" s="15" t="n">
        <v>20</v>
      </c>
      <c r="H61" s="15" t="n">
        <v>20</v>
      </c>
      <c r="I61" s="15" t="n">
        <v>400</v>
      </c>
      <c r="J61" s="15" t="n">
        <f aca="false">I61^2/H61</f>
        <v>8000</v>
      </c>
      <c r="K61" s="5" t="n">
        <f aca="false">H61/eff</f>
        <v>26.6666666666667</v>
      </c>
      <c r="L61" s="4" t="n">
        <f aca="false">F61^2*Dmax^2/(2*fs*H61)</f>
        <v>1.0125E-005</v>
      </c>
      <c r="M61" s="1" t="n">
        <f aca="false">SQRT(2*fs*Lp*H61)/F61</f>
        <v>0.266082693913001</v>
      </c>
      <c r="N61" s="1" t="n">
        <f aca="false">F61*M61/(I61*(1-M61))</f>
        <v>0.00906378319826198</v>
      </c>
      <c r="O61" s="5" t="n">
        <f aca="false">SQRT(2*H61/(fs*Lp))</f>
        <v>15.0329205600566</v>
      </c>
      <c r="P61" s="1" t="n">
        <f aca="false">H61/(F61*eff)</f>
        <v>2.66666666666667</v>
      </c>
      <c r="Q61" s="1" t="n">
        <f aca="false">O61*SQRT(M61/3)</f>
        <v>4.47704077266172</v>
      </c>
      <c r="R61" s="1" t="n">
        <f aca="false">H61/I61</f>
        <v>0.05</v>
      </c>
      <c r="S61" s="1" t="n">
        <f aca="false">SQRT(2*R61*n*O61/3)</f>
        <v>0.158794056961078</v>
      </c>
      <c r="T61" s="4" t="n">
        <f aca="false">0.5*Lp*O61^2</f>
        <v>0.0004</v>
      </c>
      <c r="U61" s="1" t="n">
        <f aca="false">F61*M61/(n*I61)</f>
        <v>0.132193547211603</v>
      </c>
      <c r="V61" s="4" t="n">
        <f aca="false">(n*O61-R61)*U61/(fs*n*O61)</f>
        <v>2.46911960498819E-006</v>
      </c>
      <c r="W61" s="4" t="n">
        <f aca="false">(n*O61-R61)*V61/(2*Cout)</f>
        <v>0.0872175236269494</v>
      </c>
      <c r="X61" s="4"/>
      <c r="Y61" s="4"/>
      <c r="Z61" s="4"/>
    </row>
    <row r="62" s="1" customFormat="true" ht="15" hidden="false" customHeight="false" outlineLevel="0" collapsed="false">
      <c r="D62" s="15"/>
      <c r="E62" s="3" t="n">
        <v>115</v>
      </c>
      <c r="F62" s="15" t="n">
        <v>12</v>
      </c>
      <c r="G62" s="15" t="n">
        <v>20</v>
      </c>
      <c r="H62" s="15" t="n">
        <v>20</v>
      </c>
      <c r="I62" s="15" t="n">
        <v>400</v>
      </c>
      <c r="J62" s="15" t="n">
        <f aca="false">I62^2/H62</f>
        <v>8000</v>
      </c>
      <c r="K62" s="5" t="n">
        <f aca="false">H62/eff</f>
        <v>26.6666666666667</v>
      </c>
      <c r="L62" s="4" t="n">
        <f aca="false">F62^2*Dmax^2/(2*fs*H62)</f>
        <v>1.458E-005</v>
      </c>
      <c r="M62" s="1" t="n">
        <f aca="false">SQRT(2*fs*Lp*H62)/F62</f>
        <v>0.221735578260835</v>
      </c>
      <c r="N62" s="1" t="n">
        <f aca="false">F62*M62/(I62*(1-M62))</f>
        <v>0.00854731009411923</v>
      </c>
      <c r="O62" s="5" t="n">
        <f aca="false">SQRT(2*H62/(fs*Lp))</f>
        <v>15.0329205600566</v>
      </c>
      <c r="P62" s="1" t="n">
        <f aca="false">H62/(F62*eff)</f>
        <v>2.22222222222222</v>
      </c>
      <c r="Q62" s="1" t="n">
        <f aca="false">O62*SQRT(M62/3)</f>
        <v>4.0869603700953</v>
      </c>
      <c r="R62" s="1" t="n">
        <f aca="false">H62/I62</f>
        <v>0.05</v>
      </c>
      <c r="S62" s="1" t="n">
        <f aca="false">SQRT(2*R62*n*O62/3)</f>
        <v>0.158794056961078</v>
      </c>
      <c r="T62" s="4" t="n">
        <f aca="false">0.5*Lp*O62^2</f>
        <v>0.0004</v>
      </c>
      <c r="U62" s="1" t="n">
        <f aca="false">F62*M62/(n*I62)</f>
        <v>0.132193547211603</v>
      </c>
      <c r="V62" s="4" t="n">
        <f aca="false">(n*O62-R62)*U62/(fs*n*O62)</f>
        <v>2.46911960498819E-006</v>
      </c>
      <c r="W62" s="4" t="n">
        <f aca="false">(n*O62-R62)*V62/(2*Cout)</f>
        <v>0.0872175236269494</v>
      </c>
      <c r="X62" s="4"/>
      <c r="Y62" s="4"/>
      <c r="Z62" s="4"/>
    </row>
    <row r="63" s="1" customFormat="true" ht="15" hidden="false" customHeight="false" outlineLevel="0" collapsed="false">
      <c r="D63" s="15"/>
      <c r="E63" s="3" t="n">
        <v>116</v>
      </c>
      <c r="F63" s="15" t="n">
        <v>15</v>
      </c>
      <c r="G63" s="15" t="n">
        <v>20</v>
      </c>
      <c r="H63" s="15" t="n">
        <v>20</v>
      </c>
      <c r="I63" s="15" t="n">
        <v>400</v>
      </c>
      <c r="J63" s="15" t="n">
        <f aca="false">I63^2/H63</f>
        <v>8000</v>
      </c>
      <c r="K63" s="5" t="n">
        <f aca="false">H63/eff</f>
        <v>26.6666666666667</v>
      </c>
      <c r="L63" s="4" t="n">
        <f aca="false">F63^2*Dmax^2/(2*fs*H63)</f>
        <v>2.278125E-005</v>
      </c>
      <c r="M63" s="1" t="n">
        <f aca="false">SQRT(2*fs*Lp*H63)/F63</f>
        <v>0.177388462608668</v>
      </c>
      <c r="N63" s="1" t="n">
        <f aca="false">F63*M63/(I63*(1-M63))</f>
        <v>0.00808652328038103</v>
      </c>
      <c r="O63" s="5" t="n">
        <f aca="false">SQRT(2*H63/(fs*Lp))</f>
        <v>15.0329205600566</v>
      </c>
      <c r="P63" s="1" t="n">
        <f aca="false">H63/(F63*eff)</f>
        <v>1.77777777777778</v>
      </c>
      <c r="Q63" s="1" t="n">
        <f aca="false">O63*SQRT(M63/3)</f>
        <v>3.65548848355232</v>
      </c>
      <c r="R63" s="1" t="n">
        <f aca="false">H63/I63</f>
        <v>0.05</v>
      </c>
      <c r="S63" s="1" t="n">
        <f aca="false">SQRT(2*R63*n*O63/3)</f>
        <v>0.158794056961078</v>
      </c>
      <c r="T63" s="4" t="n">
        <f aca="false">0.5*Lp*O63^2</f>
        <v>0.0004</v>
      </c>
      <c r="U63" s="1" t="n">
        <f aca="false">F63*M63/(n*I63)</f>
        <v>0.132193547211603</v>
      </c>
      <c r="V63" s="4" t="n">
        <f aca="false">(n*O63-R63)*U63/(fs*n*O63)</f>
        <v>2.46911960498819E-006</v>
      </c>
      <c r="W63" s="4" t="n">
        <f aca="false">(n*O63-R63)*V63/(2*Cout)</f>
        <v>0.0872175236269494</v>
      </c>
      <c r="X63" s="4"/>
      <c r="Y63" s="4"/>
      <c r="Z63" s="4"/>
    </row>
    <row r="64" s="1" customFormat="true" ht="15" hidden="false" customHeight="false" outlineLevel="0" collapsed="false">
      <c r="D64" s="15"/>
      <c r="E64" s="3" t="n">
        <v>117</v>
      </c>
      <c r="F64" s="15" t="n">
        <v>18</v>
      </c>
      <c r="G64" s="15" t="n">
        <v>20</v>
      </c>
      <c r="H64" s="15" t="n">
        <v>20</v>
      </c>
      <c r="I64" s="15" t="n">
        <v>400</v>
      </c>
      <c r="J64" s="15" t="n">
        <f aca="false">I64^2/H64</f>
        <v>8000</v>
      </c>
      <c r="K64" s="5" t="n">
        <f aca="false">H64/eff</f>
        <v>26.6666666666667</v>
      </c>
      <c r="L64" s="4" t="n">
        <f aca="false">F64^2*Dmax^2/(2*fs*H64)</f>
        <v>3.2805E-005</v>
      </c>
      <c r="M64" s="1" t="n">
        <f aca="false">SQRT(2*fs*Lp*H64)/F64</f>
        <v>0.147823718840556</v>
      </c>
      <c r="N64" s="1" t="n">
        <f aca="false">F64*M64/(I64*(1-M64))</f>
        <v>0.00780597570584157</v>
      </c>
      <c r="O64" s="5" t="n">
        <f aca="false">SQRT(2*H64/(fs*Lp))</f>
        <v>15.0329205600566</v>
      </c>
      <c r="P64" s="1" t="n">
        <f aca="false">H64/(F64*eff)</f>
        <v>1.48148148148148</v>
      </c>
      <c r="Q64" s="1" t="n">
        <f aca="false">O64*SQRT(M64/3)</f>
        <v>3.33698916856993</v>
      </c>
      <c r="R64" s="1" t="n">
        <f aca="false">H64/I64</f>
        <v>0.05</v>
      </c>
      <c r="S64" s="1" t="n">
        <f aca="false">SQRT(2*R64*n*O64/3)</f>
        <v>0.158794056961078</v>
      </c>
      <c r="T64" s="4" t="n">
        <f aca="false">0.5*Lp*O64^2</f>
        <v>0.0004</v>
      </c>
      <c r="U64" s="1" t="n">
        <f aca="false">F64*M64/(n*I64)</f>
        <v>0.132193547211603</v>
      </c>
      <c r="V64" s="4" t="n">
        <f aca="false">(n*O64-R64)*U64/(fs*n*O64)</f>
        <v>2.46911960498819E-006</v>
      </c>
      <c r="W64" s="4" t="n">
        <f aca="false">(n*O64-R64)*V64/(2*Cout)</f>
        <v>0.0872175236269494</v>
      </c>
      <c r="X64" s="4"/>
      <c r="Y64" s="4"/>
      <c r="Z64" s="4"/>
    </row>
    <row r="65" s="1" customFormat="true" ht="15" hidden="false" customHeight="false" outlineLevel="0" collapsed="false">
      <c r="D65" s="15"/>
      <c r="E65" s="3" t="n">
        <v>118</v>
      </c>
      <c r="F65" s="15" t="n">
        <v>20</v>
      </c>
      <c r="G65" s="15" t="n">
        <v>20</v>
      </c>
      <c r="H65" s="15" t="n">
        <v>20</v>
      </c>
      <c r="I65" s="15" t="n">
        <v>400</v>
      </c>
      <c r="J65" s="15" t="n">
        <f aca="false">I65^2/H65</f>
        <v>8000</v>
      </c>
      <c r="K65" s="5" t="n">
        <f aca="false">H65/eff</f>
        <v>26.6666666666667</v>
      </c>
      <c r="L65" s="4" t="n">
        <f aca="false">F65^2*Dmax^2/(2*fs*H65)</f>
        <v>4.05E-005</v>
      </c>
      <c r="M65" s="1" t="n">
        <f aca="false">SQRT(2*fs*Lp*H65)/F65</f>
        <v>0.133041346956501</v>
      </c>
      <c r="N65" s="1" t="n">
        <f aca="false">F65*M65/(I65*(1-M65))</f>
        <v>0.00767287727560321</v>
      </c>
      <c r="O65" s="5" t="n">
        <f aca="false">SQRT(2*H65/(fs*Lp))</f>
        <v>15.0329205600566</v>
      </c>
      <c r="P65" s="1" t="n">
        <f aca="false">H65/(F65*eff)</f>
        <v>1.33333333333333</v>
      </c>
      <c r="Q65" s="1" t="n">
        <f aca="false">O65*SQRT(M65/3)</f>
        <v>3.16574588999776</v>
      </c>
      <c r="R65" s="1" t="n">
        <f aca="false">H65/I65</f>
        <v>0.05</v>
      </c>
      <c r="S65" s="1" t="n">
        <f aca="false">SQRT(2*R65*n*O65/3)</f>
        <v>0.158794056961078</v>
      </c>
      <c r="T65" s="4" t="n">
        <f aca="false">0.5*Lp*O65^2</f>
        <v>0.0004</v>
      </c>
      <c r="U65" s="1" t="n">
        <f aca="false">F65*M65/(n*I65)</f>
        <v>0.132193547211603</v>
      </c>
      <c r="V65" s="4" t="n">
        <f aca="false">(n*O65-R65)*U65/(fs*n*O65)</f>
        <v>2.46911960498819E-006</v>
      </c>
      <c r="W65" s="4" t="n">
        <f aca="false">(n*O65-R65)*V65/(2*Cout)</f>
        <v>0.0872175236269494</v>
      </c>
      <c r="X65" s="4"/>
      <c r="Y65" s="4"/>
      <c r="Z65" s="4"/>
    </row>
    <row r="66" s="1" customFormat="true" ht="15" hidden="false" customHeight="false" outlineLevel="0" collapsed="false">
      <c r="B66" s="2"/>
      <c r="D66" s="15"/>
      <c r="E66" s="3" t="n">
        <v>119</v>
      </c>
      <c r="F66" s="15" t="n">
        <v>24</v>
      </c>
      <c r="G66" s="15" t="n">
        <v>20</v>
      </c>
      <c r="H66" s="15" t="n">
        <v>20</v>
      </c>
      <c r="I66" s="15" t="n">
        <v>400</v>
      </c>
      <c r="J66" s="15" t="n">
        <f aca="false">I66^2/H66</f>
        <v>8000</v>
      </c>
      <c r="K66" s="5" t="n">
        <f aca="false">H66/eff</f>
        <v>26.6666666666667</v>
      </c>
      <c r="L66" s="4" t="n">
        <f aca="false">F66^2*Dmax^2/(2*fs*H66)</f>
        <v>5.832E-005</v>
      </c>
      <c r="M66" s="1" t="n">
        <f aca="false">SQRT(2*fs*Lp*H66)/F66</f>
        <v>0.110867789130417</v>
      </c>
      <c r="N66" s="1" t="n">
        <f aca="false">F66*M66/(I66*(1-M66))</f>
        <v>0.00748152779362164</v>
      </c>
      <c r="O66" s="5" t="n">
        <f aca="false">SQRT(2*H66/(fs*Lp))</f>
        <v>15.0329205600566</v>
      </c>
      <c r="P66" s="1" t="n">
        <f aca="false">H66/(F66*eff)</f>
        <v>1.11111111111111</v>
      </c>
      <c r="Q66" s="1" t="n">
        <f aca="false">O66*SQRT(M66/3)</f>
        <v>2.88991739213507</v>
      </c>
      <c r="R66" s="1" t="n">
        <f aca="false">H66/I66</f>
        <v>0.05</v>
      </c>
      <c r="S66" s="1" t="n">
        <f aca="false">SQRT(2*R66*n*O66/3)</f>
        <v>0.158794056961078</v>
      </c>
      <c r="T66" s="4" t="n">
        <f aca="false">0.5*Lp*O66^2</f>
        <v>0.0004</v>
      </c>
      <c r="U66" s="1" t="n">
        <f aca="false">F66*M66/(n*I66)</f>
        <v>0.132193547211603</v>
      </c>
      <c r="V66" s="4" t="n">
        <f aca="false">(n*O66-R66)*U66/(fs*n*O66)</f>
        <v>2.46911960498819E-006</v>
      </c>
      <c r="W66" s="4" t="n">
        <f aca="false">(n*O66-R66)*V66/(2*Cout)</f>
        <v>0.0872175236269494</v>
      </c>
      <c r="X66" s="4"/>
      <c r="Y66" s="4"/>
      <c r="Z66" s="4"/>
    </row>
    <row r="67" customFormat="false" ht="15" hidden="false" customHeight="false" outlineLevel="0" collapsed="false">
      <c r="D67" s="15"/>
      <c r="E67" s="3" t="n">
        <v>148</v>
      </c>
      <c r="F67" s="15" t="n">
        <v>9</v>
      </c>
      <c r="G67" s="15" t="n">
        <v>20</v>
      </c>
      <c r="H67" s="15" t="n">
        <v>20</v>
      </c>
      <c r="I67" s="15" t="n">
        <v>550</v>
      </c>
      <c r="J67" s="15" t="n">
        <f aca="false">I67^2/H67</f>
        <v>15125</v>
      </c>
      <c r="K67" s="5" t="n">
        <f aca="false">H67/eff</f>
        <v>26.6666666666667</v>
      </c>
      <c r="L67" s="4" t="n">
        <f aca="false">F67^2*Dmax^2/(2*fs*H67)</f>
        <v>8.20125E-006</v>
      </c>
      <c r="M67" s="1" t="n">
        <f aca="false">SQRT(2*fs*Lp*H67)/F67</f>
        <v>0.295647437681113</v>
      </c>
      <c r="N67" s="1" t="n">
        <f aca="false">F67*M67/(I67*(1-M67))</f>
        <v>0.00686853064909315</v>
      </c>
      <c r="O67" s="5" t="n">
        <f aca="false">SQRT(2*H67/(fs*Lp))</f>
        <v>15.0329205600566</v>
      </c>
      <c r="P67" s="1" t="n">
        <f aca="false">H67/(F67*eff)</f>
        <v>2.96296296296296</v>
      </c>
      <c r="Q67" s="1" t="n">
        <f aca="false">O67*SQRT(M67/3)</f>
        <v>4.71921533968371</v>
      </c>
      <c r="R67" s="1" t="n">
        <f aca="false">H67/I67</f>
        <v>0.0363636363636364</v>
      </c>
      <c r="S67" s="1" t="n">
        <f aca="false">SQRT(2*R67*n*O67/3)</f>
        <v>0.135420026788462</v>
      </c>
      <c r="T67" s="4" t="n">
        <f aca="false">0.5*Lp*O67^2</f>
        <v>0.0004</v>
      </c>
      <c r="U67" s="1" t="n">
        <f aca="false">F67*M67/(n*I67)</f>
        <v>0.0961407616084382</v>
      </c>
      <c r="V67" s="4" t="n">
        <f aca="false">(n*O67-R67)*U67/(fs*n*O67)</f>
        <v>1.83038477174226E-006</v>
      </c>
      <c r="W67" s="4" t="n">
        <f aca="false">(n*O67-R67)*V67/(2*Cout)</f>
        <v>0.0659032727201618</v>
      </c>
      <c r="X67" s="4"/>
      <c r="Y67" s="4"/>
      <c r="Z67" s="4"/>
      <c r="AA67" s="1"/>
    </row>
    <row r="68" customFormat="false" ht="15" hidden="false" customHeight="false" outlineLevel="0" collapsed="false">
      <c r="D68" s="15"/>
      <c r="E68" s="3" t="n">
        <v>149</v>
      </c>
      <c r="F68" s="15" t="n">
        <v>10</v>
      </c>
      <c r="G68" s="15" t="n">
        <v>20</v>
      </c>
      <c r="H68" s="15" t="n">
        <v>20</v>
      </c>
      <c r="I68" s="15" t="n">
        <v>550</v>
      </c>
      <c r="J68" s="15" t="n">
        <f aca="false">I68^2/H68</f>
        <v>15125</v>
      </c>
      <c r="K68" s="5" t="n">
        <f aca="false">H68/eff</f>
        <v>26.6666666666667</v>
      </c>
      <c r="L68" s="4" t="n">
        <f aca="false">F68^2*Dmax^2/(2*fs*H68)</f>
        <v>1.0125E-005</v>
      </c>
      <c r="M68" s="1" t="n">
        <f aca="false">SQRT(2*fs*Lp*H68)/F68</f>
        <v>0.266082693913001</v>
      </c>
      <c r="N68" s="1" t="n">
        <f aca="false">F68*M68/(I68*(1-M68))</f>
        <v>0.00659184232600872</v>
      </c>
      <c r="O68" s="5" t="n">
        <f aca="false">SQRT(2*H68/(fs*Lp))</f>
        <v>15.0329205600566</v>
      </c>
      <c r="P68" s="1" t="n">
        <f aca="false">H68/(F68*eff)</f>
        <v>2.66666666666667</v>
      </c>
      <c r="Q68" s="1" t="n">
        <f aca="false">O68*SQRT(M68/3)</f>
        <v>4.47704077266172</v>
      </c>
      <c r="R68" s="1" t="n">
        <f aca="false">H68/I68</f>
        <v>0.0363636363636364</v>
      </c>
      <c r="S68" s="1" t="n">
        <f aca="false">SQRT(2*R68*n*O68/3)</f>
        <v>0.135420026788462</v>
      </c>
      <c r="T68" s="4" t="n">
        <f aca="false">0.5*Lp*O68^2</f>
        <v>0.0004</v>
      </c>
      <c r="U68" s="1" t="n">
        <f aca="false">F68*M68/(n*I68)</f>
        <v>0.0961407616084382</v>
      </c>
      <c r="V68" s="4" t="n">
        <f aca="false">(n*O68-R68)*U68/(fs*n*O68)</f>
        <v>1.83038477174226E-006</v>
      </c>
      <c r="W68" s="4" t="n">
        <f aca="false">(n*O68-R68)*V68/(2*Cout)</f>
        <v>0.0659032727201618</v>
      </c>
      <c r="X68" s="4"/>
      <c r="Y68" s="4"/>
      <c r="Z68" s="4"/>
      <c r="AA68" s="1"/>
    </row>
    <row r="69" customFormat="false" ht="15" hidden="false" customHeight="false" outlineLevel="0" collapsed="false">
      <c r="D69" s="15"/>
      <c r="E69" s="3" t="n">
        <v>150</v>
      </c>
      <c r="F69" s="15" t="n">
        <v>12</v>
      </c>
      <c r="G69" s="15" t="n">
        <v>20</v>
      </c>
      <c r="H69" s="15" t="n">
        <v>20</v>
      </c>
      <c r="I69" s="15" t="n">
        <v>550</v>
      </c>
      <c r="J69" s="15" t="n">
        <f aca="false">I69^2/H69</f>
        <v>15125</v>
      </c>
      <c r="K69" s="5" t="n">
        <f aca="false">H69/eff</f>
        <v>26.6666666666667</v>
      </c>
      <c r="L69" s="4" t="n">
        <f aca="false">F69^2*Dmax^2/(2*fs*H69)</f>
        <v>1.458E-005</v>
      </c>
      <c r="M69" s="1" t="n">
        <f aca="false">SQRT(2*fs*Lp*H69)/F69</f>
        <v>0.221735578260835</v>
      </c>
      <c r="N69" s="1" t="n">
        <f aca="false">F69*M69/(I69*(1-M69))</f>
        <v>0.00621622552299581</v>
      </c>
      <c r="O69" s="5" t="n">
        <f aca="false">SQRT(2*H69/(fs*Lp))</f>
        <v>15.0329205600566</v>
      </c>
      <c r="P69" s="1" t="n">
        <f aca="false">H69/(F69*eff)</f>
        <v>2.22222222222222</v>
      </c>
      <c r="Q69" s="1" t="n">
        <f aca="false">O69*SQRT(M69/3)</f>
        <v>4.0869603700953</v>
      </c>
      <c r="R69" s="1" t="n">
        <f aca="false">H69/I69</f>
        <v>0.0363636363636364</v>
      </c>
      <c r="S69" s="1" t="n">
        <f aca="false">SQRT(2*R69*n*O69/3)</f>
        <v>0.135420026788462</v>
      </c>
      <c r="T69" s="4" t="n">
        <f aca="false">0.5*Lp*O69^2</f>
        <v>0.0004</v>
      </c>
      <c r="U69" s="1" t="n">
        <f aca="false">F69*M69/(n*I69)</f>
        <v>0.0961407616084382</v>
      </c>
      <c r="V69" s="4" t="n">
        <f aca="false">(n*O69-R69)*U69/(fs*n*O69)</f>
        <v>1.83038477174226E-006</v>
      </c>
      <c r="W69" s="4" t="n">
        <f aca="false">(n*O69-R69)*V69/(2*Cout)</f>
        <v>0.0659032727201618</v>
      </c>
      <c r="X69" s="4"/>
      <c r="Y69" s="4"/>
      <c r="Z69" s="4"/>
      <c r="AA69" s="1"/>
    </row>
    <row r="70" customFormat="false" ht="15" hidden="false" customHeight="false" outlineLevel="0" collapsed="false">
      <c r="D70" s="15"/>
      <c r="E70" s="3" t="n">
        <v>151</v>
      </c>
      <c r="F70" s="15" t="n">
        <v>15</v>
      </c>
      <c r="G70" s="15" t="n">
        <v>20</v>
      </c>
      <c r="H70" s="15" t="n">
        <v>20</v>
      </c>
      <c r="I70" s="15" t="n">
        <v>550</v>
      </c>
      <c r="J70" s="15" t="n">
        <f aca="false">I70^2/H70</f>
        <v>15125</v>
      </c>
      <c r="K70" s="5" t="n">
        <f aca="false">H70/eff</f>
        <v>26.6666666666667</v>
      </c>
      <c r="L70" s="4" t="n">
        <f aca="false">F70^2*Dmax^2/(2*fs*H70)</f>
        <v>2.278125E-005</v>
      </c>
      <c r="M70" s="1" t="n">
        <f aca="false">SQRT(2*fs*Lp*H70)/F70</f>
        <v>0.177388462608668</v>
      </c>
      <c r="N70" s="1" t="n">
        <f aca="false">F70*M70/(I70*(1-M70))</f>
        <v>0.00588110784027711</v>
      </c>
      <c r="O70" s="5" t="n">
        <f aca="false">SQRT(2*H70/(fs*Lp))</f>
        <v>15.0329205600566</v>
      </c>
      <c r="P70" s="1" t="n">
        <f aca="false">H70/(F70*eff)</f>
        <v>1.77777777777778</v>
      </c>
      <c r="Q70" s="1" t="n">
        <f aca="false">O70*SQRT(M70/3)</f>
        <v>3.65548848355232</v>
      </c>
      <c r="R70" s="1" t="n">
        <f aca="false">H70/I70</f>
        <v>0.0363636363636364</v>
      </c>
      <c r="S70" s="1" t="n">
        <f aca="false">SQRT(2*R70*n*O70/3)</f>
        <v>0.135420026788462</v>
      </c>
      <c r="T70" s="4" t="n">
        <f aca="false">0.5*Lp*O70^2</f>
        <v>0.0004</v>
      </c>
      <c r="U70" s="1" t="n">
        <f aca="false">F70*M70/(n*I70)</f>
        <v>0.0961407616084382</v>
      </c>
      <c r="V70" s="4" t="n">
        <f aca="false">(n*O70-R70)*U70/(fs*n*O70)</f>
        <v>1.83038477174226E-006</v>
      </c>
      <c r="W70" s="4" t="n">
        <f aca="false">(n*O70-R70)*V70/(2*Cout)</f>
        <v>0.0659032727201618</v>
      </c>
      <c r="X70" s="4"/>
      <c r="Y70" s="4"/>
      <c r="Z70" s="4"/>
      <c r="AA70" s="1"/>
    </row>
    <row r="71" customFormat="false" ht="15" hidden="false" customHeight="false" outlineLevel="0" collapsed="false">
      <c r="D71" s="15"/>
      <c r="E71" s="3" t="n">
        <v>152</v>
      </c>
      <c r="F71" s="15" t="n">
        <v>18</v>
      </c>
      <c r="G71" s="15" t="n">
        <v>20</v>
      </c>
      <c r="H71" s="15" t="n">
        <v>20</v>
      </c>
      <c r="I71" s="15" t="n">
        <v>550</v>
      </c>
      <c r="J71" s="15" t="n">
        <f aca="false">I71^2/H71</f>
        <v>15125</v>
      </c>
      <c r="K71" s="5" t="n">
        <f aca="false">H71/eff</f>
        <v>26.6666666666667</v>
      </c>
      <c r="L71" s="4" t="n">
        <f aca="false">F71^2*Dmax^2/(2*fs*H71)</f>
        <v>3.2805E-005</v>
      </c>
      <c r="M71" s="1" t="n">
        <f aca="false">SQRT(2*fs*Lp*H71)/F71</f>
        <v>0.147823718840556</v>
      </c>
      <c r="N71" s="1" t="n">
        <f aca="false">F71*M71/(I71*(1-M71))</f>
        <v>0.00567707324061205</v>
      </c>
      <c r="O71" s="5" t="n">
        <f aca="false">SQRT(2*H71/(fs*Lp))</f>
        <v>15.0329205600566</v>
      </c>
      <c r="P71" s="1" t="n">
        <f aca="false">H71/(F71*eff)</f>
        <v>1.48148148148148</v>
      </c>
      <c r="Q71" s="1" t="n">
        <f aca="false">O71*SQRT(M71/3)</f>
        <v>3.33698916856993</v>
      </c>
      <c r="R71" s="1" t="n">
        <f aca="false">H71/I71</f>
        <v>0.0363636363636364</v>
      </c>
      <c r="S71" s="1" t="n">
        <f aca="false">SQRT(2*R71*n*O71/3)</f>
        <v>0.135420026788462</v>
      </c>
      <c r="T71" s="4" t="n">
        <f aca="false">0.5*Lp*O71^2</f>
        <v>0.0004</v>
      </c>
      <c r="U71" s="1" t="n">
        <f aca="false">F71*M71/(n*I71)</f>
        <v>0.0961407616084382</v>
      </c>
      <c r="V71" s="4" t="n">
        <f aca="false">(n*O71-R71)*U71/(fs*n*O71)</f>
        <v>1.83038477174226E-006</v>
      </c>
      <c r="W71" s="4" t="n">
        <f aca="false">(n*O71-R71)*V71/(2*Cout)</f>
        <v>0.0659032727201618</v>
      </c>
      <c r="X71" s="4"/>
      <c r="Y71" s="4"/>
      <c r="Z71" s="4"/>
      <c r="AA71" s="1"/>
    </row>
    <row r="72" customFormat="false" ht="15" hidden="false" customHeight="false" outlineLevel="0" collapsed="false">
      <c r="D72" s="15"/>
      <c r="E72" s="3" t="n">
        <v>153</v>
      </c>
      <c r="F72" s="15" t="n">
        <v>20</v>
      </c>
      <c r="G72" s="15" t="n">
        <v>20</v>
      </c>
      <c r="H72" s="15" t="n">
        <v>20</v>
      </c>
      <c r="I72" s="15" t="n">
        <v>550</v>
      </c>
      <c r="J72" s="15" t="n">
        <f aca="false">I72^2/H72</f>
        <v>15125</v>
      </c>
      <c r="K72" s="5" t="n">
        <f aca="false">H72/eff</f>
        <v>26.6666666666667</v>
      </c>
      <c r="L72" s="4" t="n">
        <f aca="false">F72^2*Dmax^2/(2*fs*H72)</f>
        <v>4.05E-005</v>
      </c>
      <c r="M72" s="1" t="n">
        <f aca="false">SQRT(2*fs*Lp*H72)/F72</f>
        <v>0.133041346956501</v>
      </c>
      <c r="N72" s="1" t="n">
        <f aca="false">F72*M72/(I72*(1-M72))</f>
        <v>0.00558027438225688</v>
      </c>
      <c r="O72" s="5" t="n">
        <f aca="false">SQRT(2*H72/(fs*Lp))</f>
        <v>15.0329205600566</v>
      </c>
      <c r="P72" s="1" t="n">
        <f aca="false">H72/(F72*eff)</f>
        <v>1.33333333333333</v>
      </c>
      <c r="Q72" s="1" t="n">
        <f aca="false">O72*SQRT(M72/3)</f>
        <v>3.16574588999776</v>
      </c>
      <c r="R72" s="1" t="n">
        <f aca="false">H72/I72</f>
        <v>0.0363636363636364</v>
      </c>
      <c r="S72" s="1" t="n">
        <f aca="false">SQRT(2*R72*n*O72/3)</f>
        <v>0.135420026788462</v>
      </c>
      <c r="T72" s="4" t="n">
        <f aca="false">0.5*Lp*O72^2</f>
        <v>0.0004</v>
      </c>
      <c r="U72" s="1" t="n">
        <f aca="false">F72*M72/(n*I72)</f>
        <v>0.0961407616084382</v>
      </c>
      <c r="V72" s="4" t="n">
        <f aca="false">(n*O72-R72)*U72/(fs*n*O72)</f>
        <v>1.83038477174226E-006</v>
      </c>
      <c r="W72" s="4" t="n">
        <f aca="false">(n*O72-R72)*V72/(2*Cout)</f>
        <v>0.0659032727201618</v>
      </c>
      <c r="X72" s="4"/>
      <c r="Y72" s="4"/>
      <c r="Z72" s="4"/>
      <c r="AA72" s="1"/>
    </row>
    <row r="73" customFormat="false" ht="15" hidden="false" customHeight="false" outlineLevel="0" collapsed="false">
      <c r="D73" s="15"/>
      <c r="E73" s="3" t="n">
        <v>154</v>
      </c>
      <c r="F73" s="15" t="n">
        <v>24</v>
      </c>
      <c r="G73" s="15" t="n">
        <v>20</v>
      </c>
      <c r="H73" s="15" t="n">
        <v>20</v>
      </c>
      <c r="I73" s="15" t="n">
        <v>550</v>
      </c>
      <c r="J73" s="15" t="n">
        <f aca="false">I73^2/H73</f>
        <v>15125</v>
      </c>
      <c r="K73" s="5" t="n">
        <f aca="false">H73/eff</f>
        <v>26.6666666666667</v>
      </c>
      <c r="L73" s="4" t="n">
        <f aca="false">F73^2*Dmax^2/(2*fs*H73)</f>
        <v>5.832E-005</v>
      </c>
      <c r="M73" s="1" t="n">
        <f aca="false">SQRT(2*fs*Lp*H73)/F73</f>
        <v>0.110867789130417</v>
      </c>
      <c r="N73" s="1" t="n">
        <f aca="false">F73*M73/(I73*(1-M73))</f>
        <v>0.00544111112263392</v>
      </c>
      <c r="O73" s="5" t="n">
        <f aca="false">SQRT(2*H73/(fs*Lp))</f>
        <v>15.0329205600566</v>
      </c>
      <c r="P73" s="1" t="n">
        <f aca="false">H73/(F73*eff)</f>
        <v>1.11111111111111</v>
      </c>
      <c r="Q73" s="1" t="n">
        <f aca="false">O73*SQRT(M73/3)</f>
        <v>2.88991739213507</v>
      </c>
      <c r="R73" s="1" t="n">
        <f aca="false">H73/I73</f>
        <v>0.0363636363636364</v>
      </c>
      <c r="S73" s="1" t="n">
        <f aca="false">SQRT(2*R73*n*O73/3)</f>
        <v>0.135420026788462</v>
      </c>
      <c r="T73" s="4" t="n">
        <f aca="false">0.5*Lp*O73^2</f>
        <v>0.0004</v>
      </c>
      <c r="U73" s="1" t="n">
        <f aca="false">F73*M73/(n*I73)</f>
        <v>0.0961407616084382</v>
      </c>
      <c r="V73" s="4" t="n">
        <f aca="false">(n*O73-R73)*U73/(fs*n*O73)</f>
        <v>1.83038477174226E-006</v>
      </c>
      <c r="W73" s="4" t="n">
        <f aca="false">(n*O73-R73)*V73/(2*Cout)</f>
        <v>0.0659032727201618</v>
      </c>
      <c r="X73" s="4"/>
      <c r="Y73" s="4"/>
      <c r="Z73" s="4"/>
      <c r="AA73" s="1"/>
    </row>
    <row r="74" customFormat="false" ht="15" hidden="false" customHeight="false" outlineLevel="0" collapsed="false">
      <c r="D74" s="15"/>
      <c r="E74" s="3" t="n">
        <v>15</v>
      </c>
      <c r="F74" s="15" t="n">
        <v>9</v>
      </c>
      <c r="G74" s="15" t="n">
        <v>35</v>
      </c>
      <c r="H74" s="31" t="n">
        <v>29</v>
      </c>
      <c r="I74" s="15" t="n">
        <v>100</v>
      </c>
      <c r="J74" s="15" t="n">
        <f aca="false">I74^2/H74</f>
        <v>344.827586206897</v>
      </c>
      <c r="K74" s="5" t="n">
        <f aca="false">H74/eff</f>
        <v>38.6666666666667</v>
      </c>
      <c r="L74" s="4" t="n">
        <f aca="false">F74^2*Dmax^2/(2*fs*H74)</f>
        <v>5.65603448275862E-006</v>
      </c>
      <c r="M74" s="1" t="n">
        <f aca="false">SQRT(2*fs*Lp*H74)/F74</f>
        <v>0.356006658281472</v>
      </c>
      <c r="N74" s="1" t="n">
        <f aca="false">F74*M74/(I74*(1-M74))</f>
        <v>0.0497529976937814</v>
      </c>
      <c r="O74" s="5" t="n">
        <f aca="false">SQRT(2*H74/(fs*Lp))</f>
        <v>18.1020334719393</v>
      </c>
      <c r="P74" s="1" t="n">
        <f aca="false">H74/(F74*eff)</f>
        <v>4.2962962962963</v>
      </c>
      <c r="Q74" s="1" t="n">
        <f aca="false">O74*SQRT(M74/3)</f>
        <v>6.23585196107654</v>
      </c>
      <c r="R74" s="1" t="n">
        <f aca="false">H74/I74</f>
        <v>0.29</v>
      </c>
      <c r="S74" s="1" t="n">
        <f aca="false">SQRT(2*R74*n*O74/3)</f>
        <v>0.419652912712563</v>
      </c>
      <c r="T74" s="4" t="n">
        <f aca="false">0.5*Lp*O74^2</f>
        <v>0.00058</v>
      </c>
      <c r="U74" s="1" t="n">
        <f aca="false">F74*M74/(n*I74)</f>
        <v>0.636728440581823</v>
      </c>
      <c r="V74" s="4" t="n">
        <f aca="false">(n*O74-R74)*U74/(fs*n*O74)</f>
        <v>8.68033774117885E-006</v>
      </c>
      <c r="W74" s="4" t="n">
        <f aca="false">(n*O74-R74)*V74/(2*Cout)</f>
        <v>0.269483854984178</v>
      </c>
      <c r="X74" s="4"/>
      <c r="Y74" s="4"/>
      <c r="Z74" s="4"/>
      <c r="AA74" s="1"/>
    </row>
    <row r="75" customFormat="false" ht="15" hidden="false" customHeight="false" outlineLevel="0" collapsed="false">
      <c r="D75" s="15"/>
      <c r="E75" s="3" t="n">
        <v>22</v>
      </c>
      <c r="F75" s="15" t="n">
        <v>9</v>
      </c>
      <c r="G75" s="15" t="n">
        <v>55</v>
      </c>
      <c r="H75" s="31" t="n">
        <v>29</v>
      </c>
      <c r="I75" s="15" t="n">
        <v>100</v>
      </c>
      <c r="J75" s="15" t="n">
        <f aca="false">I75^2/H75</f>
        <v>344.827586206897</v>
      </c>
      <c r="K75" s="5" t="n">
        <f aca="false">H75/eff</f>
        <v>38.6666666666667</v>
      </c>
      <c r="L75" s="4" t="n">
        <f aca="false">F75^2*Dmax^2/(2*fs*H75)</f>
        <v>5.65603448275862E-006</v>
      </c>
      <c r="M75" s="1" t="n">
        <f aca="false">SQRT(2*fs*Lp*H75)/F75</f>
        <v>0.356006658281472</v>
      </c>
      <c r="N75" s="1" t="n">
        <f aca="false">F75*M75/(I75*(1-M75))</f>
        <v>0.0497529976937814</v>
      </c>
      <c r="O75" s="5" t="n">
        <f aca="false">SQRT(2*H75/(fs*Lp))</f>
        <v>18.1020334719393</v>
      </c>
      <c r="P75" s="1" t="n">
        <f aca="false">H75/(F75*eff)</f>
        <v>4.2962962962963</v>
      </c>
      <c r="Q75" s="1" t="n">
        <f aca="false">O75*SQRT(M75/3)</f>
        <v>6.23585196107654</v>
      </c>
      <c r="R75" s="1" t="n">
        <f aca="false">H75/I75</f>
        <v>0.29</v>
      </c>
      <c r="S75" s="1" t="n">
        <f aca="false">SQRT(2*R75*n*O75/3)</f>
        <v>0.419652912712563</v>
      </c>
      <c r="T75" s="4" t="n">
        <f aca="false">0.5*Lp*O75^2</f>
        <v>0.00058</v>
      </c>
      <c r="U75" s="1" t="n">
        <f aca="false">F75*M75/(n*I75)</f>
        <v>0.636728440581823</v>
      </c>
      <c r="V75" s="4" t="n">
        <f aca="false">(n*O75-R75)*U75/(fs*n*O75)</f>
        <v>8.68033774117885E-006</v>
      </c>
      <c r="W75" s="4" t="n">
        <f aca="false">(n*O75-R75)*V75/(2*Cout)</f>
        <v>0.269483854984178</v>
      </c>
      <c r="X75" s="4"/>
      <c r="Y75" s="4"/>
      <c r="Z75" s="4"/>
      <c r="AA75" s="1"/>
    </row>
    <row r="76" customFormat="false" ht="15" hidden="false" customHeight="false" outlineLevel="0" collapsed="false">
      <c r="D76" s="15"/>
      <c r="E76" s="3" t="n">
        <v>29</v>
      </c>
      <c r="F76" s="15" t="n">
        <v>9</v>
      </c>
      <c r="G76" s="15" t="n">
        <v>70</v>
      </c>
      <c r="H76" s="31" t="n">
        <v>29</v>
      </c>
      <c r="I76" s="15" t="n">
        <v>100</v>
      </c>
      <c r="J76" s="15" t="n">
        <f aca="false">I76^2/H76</f>
        <v>344.827586206897</v>
      </c>
      <c r="K76" s="5" t="n">
        <f aca="false">H76/eff</f>
        <v>38.6666666666667</v>
      </c>
      <c r="L76" s="4" t="n">
        <f aca="false">F76^2*Dmax^2/(2*fs*H76)</f>
        <v>5.65603448275862E-006</v>
      </c>
      <c r="M76" s="1" t="n">
        <f aca="false">SQRT(2*fs*Lp*H76)/F76</f>
        <v>0.356006658281472</v>
      </c>
      <c r="N76" s="1" t="n">
        <f aca="false">F76*M76/(I76*(1-M76))</f>
        <v>0.0497529976937814</v>
      </c>
      <c r="O76" s="5" t="n">
        <f aca="false">SQRT(2*H76/(fs*Lp))</f>
        <v>18.1020334719393</v>
      </c>
      <c r="P76" s="1" t="n">
        <f aca="false">H76/(F76*eff)</f>
        <v>4.2962962962963</v>
      </c>
      <c r="Q76" s="1" t="n">
        <f aca="false">O76*SQRT(M76/3)</f>
        <v>6.23585196107654</v>
      </c>
      <c r="R76" s="1" t="n">
        <f aca="false">H76/I76</f>
        <v>0.29</v>
      </c>
      <c r="S76" s="1" t="n">
        <f aca="false">SQRT(2*R76*n*O76/3)</f>
        <v>0.419652912712563</v>
      </c>
      <c r="T76" s="4" t="n">
        <f aca="false">0.5*Lp*O76^2</f>
        <v>0.00058</v>
      </c>
      <c r="U76" s="1" t="n">
        <f aca="false">F76*M76/(n*I76)</f>
        <v>0.636728440581823</v>
      </c>
      <c r="V76" s="4" t="n">
        <f aca="false">(n*O76-R76)*U76/(fs*n*O76)</f>
        <v>8.68033774117885E-006</v>
      </c>
      <c r="W76" s="4" t="n">
        <f aca="false">(n*O76-R76)*V76/(2*Cout)</f>
        <v>0.269483854984178</v>
      </c>
      <c r="X76" s="4"/>
      <c r="Y76" s="4"/>
      <c r="Z76" s="15"/>
      <c r="AA76" s="1"/>
    </row>
    <row r="77" customFormat="false" ht="15" hidden="false" customHeight="false" outlineLevel="0" collapsed="false">
      <c r="D77" s="15"/>
      <c r="E77" s="3" t="n">
        <v>16</v>
      </c>
      <c r="F77" s="15" t="n">
        <v>10</v>
      </c>
      <c r="G77" s="15" t="n">
        <v>35</v>
      </c>
      <c r="H77" s="31" t="n">
        <v>31</v>
      </c>
      <c r="I77" s="15" t="n">
        <v>100</v>
      </c>
      <c r="J77" s="15" t="n">
        <f aca="false">I77^2/H77</f>
        <v>322.58064516129</v>
      </c>
      <c r="K77" s="5" t="n">
        <f aca="false">H77/eff</f>
        <v>41.3333333333333</v>
      </c>
      <c r="L77" s="4" t="n">
        <f aca="false">F77^2*Dmax^2/(2*fs*H77)</f>
        <v>6.53225806451613E-006</v>
      </c>
      <c r="M77" s="1" t="n">
        <f aca="false">SQRT(2*fs*Lp*H77)/F77</f>
        <v>0.331270282397924</v>
      </c>
      <c r="N77" s="1" t="n">
        <f aca="false">F77*M77/(I77*(1-M77))</f>
        <v>0.049537245568477</v>
      </c>
      <c r="O77" s="5" t="n">
        <f aca="false">SQRT(2*H77/(fs*Lp))</f>
        <v>18.7158351637245</v>
      </c>
      <c r="P77" s="1" t="n">
        <f aca="false">H77/(F77*eff)</f>
        <v>4.13333333333333</v>
      </c>
      <c r="Q77" s="1" t="n">
        <f aca="false">O77*SQRT(M77/3)</f>
        <v>6.2192758960909</v>
      </c>
      <c r="R77" s="1" t="n">
        <f aca="false">H77/I77</f>
        <v>0.31</v>
      </c>
      <c r="S77" s="1" t="n">
        <f aca="false">SQRT(2*R77*n*O77/3)</f>
        <v>0.441177152967216</v>
      </c>
      <c r="T77" s="4" t="n">
        <f aca="false">0.5*Lp*O77^2</f>
        <v>0.00062</v>
      </c>
      <c r="U77" s="1" t="n">
        <f aca="false">F77*M77/(n*I77)</f>
        <v>0.658318556114574</v>
      </c>
      <c r="V77" s="4" t="n">
        <f aca="false">(n*O77-R77)*U77/(fs*n*O77)</f>
        <v>8.83253790904371E-006</v>
      </c>
      <c r="W77" s="4" t="n">
        <f aca="false">(n*O77-R77)*V77/(2*Cout)</f>
        <v>0.279016910014305</v>
      </c>
      <c r="X77" s="4"/>
      <c r="Y77" s="4"/>
      <c r="Z77" s="4"/>
      <c r="AA77" s="1"/>
    </row>
    <row r="78" customFormat="false" ht="15" hidden="false" customHeight="false" outlineLevel="0" collapsed="false">
      <c r="D78" s="15"/>
      <c r="E78" s="3" t="n">
        <v>23</v>
      </c>
      <c r="F78" s="15" t="n">
        <v>10</v>
      </c>
      <c r="G78" s="15" t="n">
        <v>55</v>
      </c>
      <c r="H78" s="31" t="n">
        <v>31</v>
      </c>
      <c r="I78" s="15" t="n">
        <v>100</v>
      </c>
      <c r="J78" s="15" t="n">
        <f aca="false">I78^2/H78</f>
        <v>322.58064516129</v>
      </c>
      <c r="K78" s="5" t="n">
        <f aca="false">H78/eff</f>
        <v>41.3333333333333</v>
      </c>
      <c r="L78" s="4" t="n">
        <f aca="false">F78^2*Dmax^2/(2*fs*H78)</f>
        <v>6.53225806451613E-006</v>
      </c>
      <c r="M78" s="1" t="n">
        <f aca="false">SQRT(2*fs*Lp*H78)/F78</f>
        <v>0.331270282397924</v>
      </c>
      <c r="N78" s="1" t="n">
        <f aca="false">F78*M78/(I78*(1-M78))</f>
        <v>0.049537245568477</v>
      </c>
      <c r="O78" s="5" t="n">
        <f aca="false">SQRT(2*H78/(fs*Lp))</f>
        <v>18.7158351637245</v>
      </c>
      <c r="P78" s="1" t="n">
        <f aca="false">H78/(F78*eff)</f>
        <v>4.13333333333333</v>
      </c>
      <c r="Q78" s="1" t="n">
        <f aca="false">O78*SQRT(M78/3)</f>
        <v>6.2192758960909</v>
      </c>
      <c r="R78" s="1" t="n">
        <f aca="false">H78/I78</f>
        <v>0.31</v>
      </c>
      <c r="S78" s="1" t="n">
        <f aca="false">SQRT(2*R78*n*O78/3)</f>
        <v>0.441177152967216</v>
      </c>
      <c r="T78" s="4" t="n">
        <f aca="false">0.5*Lp*O78^2</f>
        <v>0.00062</v>
      </c>
      <c r="U78" s="1" t="n">
        <f aca="false">F78*M78/(n*I78)</f>
        <v>0.658318556114574</v>
      </c>
      <c r="V78" s="4" t="n">
        <f aca="false">(n*O78-R78)*U78/(fs*n*O78)</f>
        <v>8.83253790904371E-006</v>
      </c>
      <c r="W78" s="4" t="n">
        <f aca="false">(n*O78-R78)*V78/(2*Cout)</f>
        <v>0.279016910014305</v>
      </c>
      <c r="X78" s="4"/>
      <c r="Y78" s="4"/>
      <c r="Z78" s="4"/>
      <c r="AA78" s="1"/>
    </row>
    <row r="79" customFormat="false" ht="15" hidden="false" customHeight="false" outlineLevel="0" collapsed="false">
      <c r="D79" s="15"/>
      <c r="E79" s="3" t="n">
        <v>30</v>
      </c>
      <c r="F79" s="15" t="n">
        <v>10</v>
      </c>
      <c r="G79" s="15" t="n">
        <v>70</v>
      </c>
      <c r="H79" s="31" t="n">
        <v>31</v>
      </c>
      <c r="I79" s="15" t="n">
        <v>100</v>
      </c>
      <c r="J79" s="15" t="n">
        <f aca="false">I79^2/H79</f>
        <v>322.58064516129</v>
      </c>
      <c r="K79" s="5" t="n">
        <f aca="false">H79/eff</f>
        <v>41.3333333333333</v>
      </c>
      <c r="L79" s="4" t="n">
        <f aca="false">F79^2*Dmax^2/(2*fs*H79)</f>
        <v>6.53225806451613E-006</v>
      </c>
      <c r="M79" s="1" t="n">
        <f aca="false">SQRT(2*fs*Lp*H79)/F79</f>
        <v>0.331270282397924</v>
      </c>
      <c r="N79" s="1" t="n">
        <f aca="false">F79*M79/(I79*(1-M79))</f>
        <v>0.049537245568477</v>
      </c>
      <c r="O79" s="5" t="n">
        <f aca="false">SQRT(2*H79/(fs*Lp))</f>
        <v>18.7158351637245</v>
      </c>
      <c r="P79" s="1" t="n">
        <f aca="false">H79/(F79*eff)</f>
        <v>4.13333333333333</v>
      </c>
      <c r="Q79" s="1" t="n">
        <f aca="false">O79*SQRT(M79/3)</f>
        <v>6.2192758960909</v>
      </c>
      <c r="R79" s="1" t="n">
        <f aca="false">H79/I79</f>
        <v>0.31</v>
      </c>
      <c r="S79" s="1" t="n">
        <f aca="false">SQRT(2*R79*n*O79/3)</f>
        <v>0.441177152967216</v>
      </c>
      <c r="T79" s="4" t="n">
        <f aca="false">0.5*Lp*O79^2</f>
        <v>0.00062</v>
      </c>
      <c r="U79" s="1" t="n">
        <f aca="false">F79*M79/(n*I79)</f>
        <v>0.658318556114574</v>
      </c>
      <c r="V79" s="4" t="n">
        <f aca="false">(n*O79-R79)*U79/(fs*n*O79)</f>
        <v>8.83253790904371E-006</v>
      </c>
      <c r="W79" s="4" t="n">
        <f aca="false">(n*O79-R79)*V79/(2*Cout)</f>
        <v>0.279016910014305</v>
      </c>
      <c r="X79" s="4"/>
      <c r="Y79" s="4"/>
      <c r="Z79" s="15"/>
      <c r="AA79" s="1"/>
    </row>
    <row r="80" customFormat="false" ht="15" hidden="false" customHeight="false" outlineLevel="0" collapsed="false">
      <c r="D80" s="15"/>
      <c r="E80" s="3" t="n">
        <v>18</v>
      </c>
      <c r="F80" s="15" t="n">
        <v>15</v>
      </c>
      <c r="G80" s="15" t="n">
        <v>35</v>
      </c>
      <c r="H80" s="15" t="n">
        <v>35</v>
      </c>
      <c r="I80" s="15" t="n">
        <v>100</v>
      </c>
      <c r="J80" s="15" t="n">
        <f aca="false">I80^2/H80</f>
        <v>285.714285714286</v>
      </c>
      <c r="K80" s="5" t="n">
        <f aca="false">H80/eff</f>
        <v>46.6666666666667</v>
      </c>
      <c r="L80" s="4" t="n">
        <f aca="false">F80^2*Dmax^2/(2*fs*H80)</f>
        <v>1.30178571428571E-005</v>
      </c>
      <c r="M80" s="1" t="n">
        <f aca="false">SQRT(2*fs*Lp*H80)/F80</f>
        <v>0.234662878757307</v>
      </c>
      <c r="N80" s="1" t="n">
        <f aca="false">F80*M80/(I80*(1-M80))</f>
        <v>0.0459920613238282</v>
      </c>
      <c r="O80" s="5" t="n">
        <f aca="false">SQRT(2*H80/(fs*Lp))</f>
        <v>19.8866846404498</v>
      </c>
      <c r="P80" s="1" t="n">
        <f aca="false">H80/(F80*eff)</f>
        <v>3.11111111111111</v>
      </c>
      <c r="Q80" s="1" t="n">
        <f aca="false">O80*SQRT(M80/3)</f>
        <v>5.56190999334158</v>
      </c>
      <c r="R80" s="1" t="n">
        <f aca="false">H80/I80</f>
        <v>0.35</v>
      </c>
      <c r="S80" s="1" t="n">
        <f aca="false">SQRT(2*R80*n*O80/3)</f>
        <v>0.483217636312618</v>
      </c>
      <c r="T80" s="4" t="n">
        <f aca="false">0.5*Lp*O80^2</f>
        <v>0.0007</v>
      </c>
      <c r="U80" s="1" t="n">
        <f aca="false">F80*M80/(n*I80)</f>
        <v>0.699502501698752</v>
      </c>
      <c r="V80" s="4" t="n">
        <f aca="false">(n*O80-R80)*U80/(fs*n*O80)</f>
        <v>9.09701253514691E-006</v>
      </c>
      <c r="W80" s="4" t="n">
        <f aca="false">(n*O80-R80)*V80/(2*Cout)</f>
        <v>0.295976405040366</v>
      </c>
      <c r="X80" s="4"/>
      <c r="Y80" s="4"/>
      <c r="Z80" s="4"/>
      <c r="AA80" s="1"/>
    </row>
    <row r="81" customFormat="false" ht="15" hidden="false" customHeight="false" outlineLevel="0" collapsed="false">
      <c r="D81" s="15"/>
      <c r="E81" s="3" t="n">
        <v>20</v>
      </c>
      <c r="F81" s="15" t="n">
        <v>20</v>
      </c>
      <c r="G81" s="15" t="n">
        <v>35</v>
      </c>
      <c r="H81" s="15" t="n">
        <v>35</v>
      </c>
      <c r="I81" s="15" t="n">
        <v>100</v>
      </c>
      <c r="J81" s="15" t="n">
        <f aca="false">I81^2/H81</f>
        <v>285.714285714286</v>
      </c>
      <c r="K81" s="5" t="n">
        <f aca="false">H81/eff</f>
        <v>46.6666666666667</v>
      </c>
      <c r="L81" s="4" t="n">
        <f aca="false">F81^2*Dmax^2/(2*fs*H81)</f>
        <v>2.31428571428571E-005</v>
      </c>
      <c r="M81" s="1" t="n">
        <f aca="false">SQRT(2*fs*Lp*H81)/F81</f>
        <v>0.17599715906798</v>
      </c>
      <c r="N81" s="1" t="n">
        <f aca="false">F81*M81/(I81*(1-M81))</f>
        <v>0.0427176097764207</v>
      </c>
      <c r="O81" s="5" t="n">
        <f aca="false">SQRT(2*H81/(fs*Lp))</f>
        <v>19.8866846404498</v>
      </c>
      <c r="P81" s="1" t="n">
        <f aca="false">H81/(F81*eff)</f>
        <v>2.33333333333333</v>
      </c>
      <c r="Q81" s="1" t="n">
        <f aca="false">O81*SQRT(M81/3)</f>
        <v>4.81675534779635</v>
      </c>
      <c r="R81" s="1" t="n">
        <f aca="false">H81/I81</f>
        <v>0.35</v>
      </c>
      <c r="S81" s="1" t="n">
        <f aca="false">SQRT(2*R81*n*O81/3)</f>
        <v>0.483217636312618</v>
      </c>
      <c r="T81" s="4" t="n">
        <f aca="false">0.5*Lp*O81^2</f>
        <v>0.0007</v>
      </c>
      <c r="U81" s="1" t="n">
        <f aca="false">F81*M81/(n*I81)</f>
        <v>0.699502501698752</v>
      </c>
      <c r="V81" s="4" t="n">
        <f aca="false">(n*O81-R81)*U81/(fs*n*O81)</f>
        <v>9.09701253514691E-006</v>
      </c>
      <c r="W81" s="4" t="n">
        <f aca="false">(n*O81-R81)*V81/(2*Cout)</f>
        <v>0.295976405040366</v>
      </c>
      <c r="X81" s="4"/>
      <c r="Y81" s="4"/>
      <c r="Z81" s="4"/>
      <c r="AA81" s="1"/>
    </row>
    <row r="82" customFormat="false" ht="15" hidden="false" customHeight="false" outlineLevel="0" collapsed="false">
      <c r="D82" s="15"/>
      <c r="E82" s="3" t="n">
        <v>17</v>
      </c>
      <c r="F82" s="15" t="n">
        <v>12</v>
      </c>
      <c r="G82" s="15" t="n">
        <v>35</v>
      </c>
      <c r="H82" s="15" t="n">
        <v>35</v>
      </c>
      <c r="I82" s="15" t="n">
        <v>100</v>
      </c>
      <c r="J82" s="15" t="n">
        <f aca="false">I82^2/H82</f>
        <v>285.714285714286</v>
      </c>
      <c r="K82" s="5" t="n">
        <f aca="false">H82/eff</f>
        <v>46.6666666666667</v>
      </c>
      <c r="L82" s="4" t="n">
        <f aca="false">F82^2*Dmax^2/(2*fs*H82)</f>
        <v>8.33142857142857E-006</v>
      </c>
      <c r="M82" s="1" t="n">
        <f aca="false">SQRT(2*fs*Lp*H82)/F82</f>
        <v>0.293328598446634</v>
      </c>
      <c r="N82" s="1" t="n">
        <f aca="false">F82*M82/(I82*(1-M82))</f>
        <v>0.0498101829736178</v>
      </c>
      <c r="O82" s="5" t="n">
        <f aca="false">SQRT(2*H82/(fs*Lp))</f>
        <v>19.8866846404498</v>
      </c>
      <c r="P82" s="1" t="n">
        <f aca="false">H82/(F82*eff)</f>
        <v>3.88888888888889</v>
      </c>
      <c r="Q82" s="1" t="n">
        <f aca="false">O82*SQRT(M82/3)</f>
        <v>6.21840441492359</v>
      </c>
      <c r="R82" s="1" t="n">
        <f aca="false">H82/I82</f>
        <v>0.35</v>
      </c>
      <c r="S82" s="1" t="n">
        <f aca="false">SQRT(2*R82*n*O82/3)</f>
        <v>0.483217636312618</v>
      </c>
      <c r="T82" s="4" t="n">
        <f aca="false">0.5*Lp*O82^2</f>
        <v>0.0007</v>
      </c>
      <c r="U82" s="1" t="n">
        <f aca="false">F82*M82/(n*I82)</f>
        <v>0.699502501698752</v>
      </c>
      <c r="V82" s="4" t="n">
        <f aca="false">(n*O82-R82)*U82/(fs*n*O82)</f>
        <v>9.09701253514691E-006</v>
      </c>
      <c r="W82" s="4" t="n">
        <f aca="false">(n*O82-R82)*V82/(2*Cout)</f>
        <v>0.295976405040365</v>
      </c>
      <c r="X82" s="4"/>
      <c r="Y82" s="4"/>
      <c r="Z82" s="4"/>
      <c r="AA82" s="1"/>
    </row>
    <row r="83" customFormat="false" ht="15" hidden="false" customHeight="false" outlineLevel="0" collapsed="false">
      <c r="D83" s="15"/>
      <c r="E83" s="3" t="n">
        <v>87</v>
      </c>
      <c r="F83" s="15" t="n">
        <v>12</v>
      </c>
      <c r="G83" s="15" t="n">
        <v>35</v>
      </c>
      <c r="H83" s="15" t="n">
        <v>35</v>
      </c>
      <c r="I83" s="15" t="n">
        <v>250</v>
      </c>
      <c r="J83" s="15" t="n">
        <f aca="false">I83^2/H83</f>
        <v>1785.71428571429</v>
      </c>
      <c r="K83" s="5" t="n">
        <f aca="false">H83/eff</f>
        <v>46.6666666666667</v>
      </c>
      <c r="L83" s="4" t="n">
        <f aca="false">F83^2*Dmax^2/(2*fs*H83)</f>
        <v>8.33142857142857E-006</v>
      </c>
      <c r="M83" s="1" t="n">
        <f aca="false">SQRT(2*fs*Lp*H83)/F83</f>
        <v>0.293328598446634</v>
      </c>
      <c r="N83" s="1" t="n">
        <f aca="false">F83*M83/(I83*(1-M83))</f>
        <v>0.0199240731894471</v>
      </c>
      <c r="O83" s="5" t="n">
        <f aca="false">SQRT(2*H83/(fs*Lp))</f>
        <v>19.8866846404498</v>
      </c>
      <c r="P83" s="1" t="n">
        <f aca="false">H83/(F83*eff)</f>
        <v>3.88888888888889</v>
      </c>
      <c r="Q83" s="1" t="n">
        <f aca="false">O83*SQRT(M83/3)</f>
        <v>6.21840441492359</v>
      </c>
      <c r="R83" s="1" t="n">
        <f aca="false">H83/I83</f>
        <v>0.14</v>
      </c>
      <c r="S83" s="1" t="n">
        <f aca="false">SQRT(2*R83*n*O83/3)</f>
        <v>0.305613667262152</v>
      </c>
      <c r="T83" s="4" t="n">
        <f aca="false">0.5*Lp*O83^2</f>
        <v>0.0007</v>
      </c>
      <c r="U83" s="1" t="n">
        <f aca="false">F83*M83/(n*I83)</f>
        <v>0.279801000679501</v>
      </c>
      <c r="V83" s="4" t="n">
        <f aca="false">(n*O83-R83)*U83/(fs*n*O83)</f>
        <v>4.81313401377752E-006</v>
      </c>
      <c r="W83" s="4" t="n">
        <f aca="false">(n*O83-R83)*V83/(2*Cout)</f>
        <v>0.207135921808427</v>
      </c>
      <c r="X83" s="4"/>
      <c r="Y83" s="4"/>
      <c r="Z83" s="4"/>
      <c r="AA83" s="1"/>
    </row>
    <row r="84" customFormat="false" ht="15" hidden="false" customHeight="false" outlineLevel="0" collapsed="false">
      <c r="D84" s="15"/>
      <c r="E84" s="3" t="n">
        <v>157</v>
      </c>
      <c r="F84" s="15" t="n">
        <v>12</v>
      </c>
      <c r="G84" s="15" t="n">
        <v>35</v>
      </c>
      <c r="H84" s="15" t="n">
        <v>35</v>
      </c>
      <c r="I84" s="15" t="n">
        <v>550</v>
      </c>
      <c r="J84" s="15" t="n">
        <f aca="false">I84^2/H84</f>
        <v>8642.85714285714</v>
      </c>
      <c r="K84" s="5" t="n">
        <f aca="false">H84/eff</f>
        <v>46.6666666666667</v>
      </c>
      <c r="L84" s="4" t="n">
        <f aca="false">F84^2*Dmax^2/(2*fs*H84)</f>
        <v>8.33142857142857E-006</v>
      </c>
      <c r="M84" s="1" t="n">
        <f aca="false">SQRT(2*fs*Lp*H84)/F84</f>
        <v>0.293328598446634</v>
      </c>
      <c r="N84" s="1" t="n">
        <f aca="false">F84*M84/(I84*(1-M84))</f>
        <v>0.00905639690429414</v>
      </c>
      <c r="O84" s="5" t="n">
        <f aca="false">SQRT(2*H84/(fs*Lp))</f>
        <v>19.8866846404498</v>
      </c>
      <c r="P84" s="1" t="n">
        <f aca="false">H84/(F84*eff)</f>
        <v>3.88888888888889</v>
      </c>
      <c r="Q84" s="1" t="n">
        <f aca="false">O84*SQRT(M84/3)</f>
        <v>6.21840441492359</v>
      </c>
      <c r="R84" s="1" t="n">
        <f aca="false">H84/I84</f>
        <v>0.0636363636363636</v>
      </c>
      <c r="S84" s="1" t="n">
        <f aca="false">SQRT(2*R84*n*O84/3)</f>
        <v>0.20604469243503</v>
      </c>
      <c r="T84" s="4" t="n">
        <f aca="false">0.5*Lp*O84^2</f>
        <v>0.0007</v>
      </c>
      <c r="U84" s="1" t="n">
        <f aca="false">F84*M84/(n*I84)</f>
        <v>0.127182273036137</v>
      </c>
      <c r="V84" s="4" t="n">
        <f aca="false">(n*O84-R84)*U84/(fs*n*O84)</f>
        <v>2.38189215497635E-006</v>
      </c>
      <c r="W84" s="4" t="n">
        <f aca="false">(n*O84-R84)*V84/(2*Cout)</f>
        <v>0.111600562131867</v>
      </c>
      <c r="X84" s="4"/>
      <c r="Y84" s="4"/>
      <c r="Z84" s="4"/>
      <c r="AA84" s="1"/>
    </row>
    <row r="85" customFormat="false" ht="15" hidden="false" customHeight="false" outlineLevel="0" collapsed="false">
      <c r="D85" s="15"/>
      <c r="E85" s="3" t="n">
        <v>50</v>
      </c>
      <c r="F85" s="15" t="n">
        <v>9</v>
      </c>
      <c r="G85" s="15" t="n">
        <v>35</v>
      </c>
      <c r="H85" s="15" t="n">
        <v>35</v>
      </c>
      <c r="I85" s="15" t="n">
        <v>170</v>
      </c>
      <c r="J85" s="15" t="n">
        <f aca="false">I85^2/H85</f>
        <v>825.714285714286</v>
      </c>
      <c r="K85" s="5" t="n">
        <f aca="false">H85/eff</f>
        <v>46.6666666666667</v>
      </c>
      <c r="L85" s="4" t="n">
        <f aca="false">F85^2*Dmax^2/(2*fs*H85)</f>
        <v>4.68642857142857E-006</v>
      </c>
      <c r="M85" s="1" t="n">
        <f aca="false">SQRT(2*fs*Lp*H85)/F85</f>
        <v>0.391104797928845</v>
      </c>
      <c r="N85" s="1" t="n">
        <f aca="false">F85*M85/(I85*(1-M85))</f>
        <v>0.0340051096727563</v>
      </c>
      <c r="O85" s="5" t="n">
        <f aca="false">SQRT(2*H85/(fs*Lp))</f>
        <v>19.8866846404498</v>
      </c>
      <c r="P85" s="1" t="n">
        <f aca="false">H85/(F85*eff)</f>
        <v>5.18518518518519</v>
      </c>
      <c r="Q85" s="1" t="n">
        <f aca="false">O85*SQRT(M85/3)</f>
        <v>7.18039492577219</v>
      </c>
      <c r="R85" s="1" t="n">
        <f aca="false">H85/I85</f>
        <v>0.205882352941176</v>
      </c>
      <c r="S85" s="1" t="n">
        <f aca="false">SQRT(2*R85*n*O85/3)</f>
        <v>0.37061100904536</v>
      </c>
      <c r="T85" s="4" t="n">
        <f aca="false">0.5*Lp*O85^2</f>
        <v>0.0007</v>
      </c>
      <c r="U85" s="1" t="n">
        <f aca="false">F85*M85/(n*I85)</f>
        <v>0.411472059822796</v>
      </c>
      <c r="V85" s="4" t="n">
        <f aca="false">(n*O85-R85)*U85/(fs*n*O85)</f>
        <v>6.53634863630777E-006</v>
      </c>
      <c r="W85" s="4" t="n">
        <f aca="false">(n*O85-R85)*V85/(2*Cout)</f>
        <v>0.259763928192139</v>
      </c>
      <c r="X85" s="4"/>
      <c r="Y85" s="4"/>
      <c r="Z85" s="4"/>
      <c r="AA85" s="1"/>
    </row>
    <row r="86" customFormat="false" ht="15" hidden="false" customHeight="false" outlineLevel="0" collapsed="false">
      <c r="D86" s="15"/>
      <c r="E86" s="3" t="n">
        <v>51</v>
      </c>
      <c r="F86" s="15" t="n">
        <v>10</v>
      </c>
      <c r="G86" s="15" t="n">
        <v>35</v>
      </c>
      <c r="H86" s="15" t="n">
        <v>35</v>
      </c>
      <c r="I86" s="15" t="n">
        <v>170</v>
      </c>
      <c r="J86" s="15" t="n">
        <f aca="false">I86^2/H86</f>
        <v>825.714285714286</v>
      </c>
      <c r="K86" s="5" t="n">
        <f aca="false">H86/eff</f>
        <v>46.6666666666667</v>
      </c>
      <c r="L86" s="4" t="n">
        <f aca="false">F86^2*Dmax^2/(2*fs*H86)</f>
        <v>5.78571428571429E-006</v>
      </c>
      <c r="M86" s="1" t="n">
        <f aca="false">SQRT(2*fs*Lp*H86)/F86</f>
        <v>0.351994318135961</v>
      </c>
      <c r="N86" s="1" t="n">
        <f aca="false">F86*M86/(I86*(1-M86))</f>
        <v>0.0319527261953686</v>
      </c>
      <c r="O86" s="5" t="n">
        <f aca="false">SQRT(2*H86/(fs*Lp))</f>
        <v>19.8866846404498</v>
      </c>
      <c r="P86" s="1" t="n">
        <f aca="false">H86/(F86*eff)</f>
        <v>4.66666666666667</v>
      </c>
      <c r="Q86" s="1" t="n">
        <f aca="false">O86*SQRT(M86/3)</f>
        <v>6.81192073948673</v>
      </c>
      <c r="R86" s="1" t="n">
        <f aca="false">H86/I86</f>
        <v>0.205882352941176</v>
      </c>
      <c r="S86" s="1" t="n">
        <f aca="false">SQRT(2*R86*n*O86/3)</f>
        <v>0.37061100904536</v>
      </c>
      <c r="T86" s="4" t="n">
        <f aca="false">0.5*Lp*O86^2</f>
        <v>0.0007</v>
      </c>
      <c r="U86" s="1" t="n">
        <f aca="false">F86*M86/(n*I86)</f>
        <v>0.411472059822796</v>
      </c>
      <c r="V86" s="4" t="n">
        <f aca="false">(n*O86-R86)*U86/(fs*n*O86)</f>
        <v>6.53634863630777E-006</v>
      </c>
      <c r="W86" s="4" t="n">
        <f aca="false">(n*O86-R86)*V86/(2*Cout)</f>
        <v>0.259763928192139</v>
      </c>
      <c r="X86" s="4"/>
      <c r="Y86" s="4"/>
      <c r="Z86" s="4"/>
      <c r="AA86" s="1"/>
    </row>
    <row r="87" customFormat="false" ht="15" hidden="false" customHeight="false" outlineLevel="0" collapsed="false">
      <c r="D87" s="15"/>
      <c r="E87" s="3" t="n">
        <v>52</v>
      </c>
      <c r="F87" s="15" t="n">
        <v>12</v>
      </c>
      <c r="G87" s="15" t="n">
        <v>35</v>
      </c>
      <c r="H87" s="15" t="n">
        <v>35</v>
      </c>
      <c r="I87" s="15" t="n">
        <v>170</v>
      </c>
      <c r="J87" s="15" t="n">
        <f aca="false">I87^2/H87</f>
        <v>825.714285714286</v>
      </c>
      <c r="K87" s="5" t="n">
        <f aca="false">H87/eff</f>
        <v>46.6666666666667</v>
      </c>
      <c r="L87" s="4" t="n">
        <f aca="false">F87^2*Dmax^2/(2*fs*H87)</f>
        <v>8.33142857142857E-006</v>
      </c>
      <c r="M87" s="1" t="n">
        <f aca="false">SQRT(2*fs*Lp*H87)/F87</f>
        <v>0.293328598446634</v>
      </c>
      <c r="N87" s="1" t="n">
        <f aca="false">F87*M87/(I87*(1-M87))</f>
        <v>0.0293001076315399</v>
      </c>
      <c r="O87" s="5" t="n">
        <f aca="false">SQRT(2*H87/(fs*Lp))</f>
        <v>19.8866846404498</v>
      </c>
      <c r="P87" s="1" t="n">
        <f aca="false">H87/(F87*eff)</f>
        <v>3.88888888888889</v>
      </c>
      <c r="Q87" s="1" t="n">
        <f aca="false">O87*SQRT(M87/3)</f>
        <v>6.21840441492359</v>
      </c>
      <c r="R87" s="1" t="n">
        <f aca="false">H87/I87</f>
        <v>0.205882352941176</v>
      </c>
      <c r="S87" s="1" t="n">
        <f aca="false">SQRT(2*R87*n*O87/3)</f>
        <v>0.37061100904536</v>
      </c>
      <c r="T87" s="4" t="n">
        <f aca="false">0.5*Lp*O87^2</f>
        <v>0.0007</v>
      </c>
      <c r="U87" s="1" t="n">
        <f aca="false">F87*M87/(n*I87)</f>
        <v>0.411472059822796</v>
      </c>
      <c r="V87" s="4" t="n">
        <f aca="false">(n*O87-R87)*U87/(fs*n*O87)</f>
        <v>6.53634863630777E-006</v>
      </c>
      <c r="W87" s="4" t="n">
        <f aca="false">(n*O87-R87)*V87/(2*Cout)</f>
        <v>0.259763928192139</v>
      </c>
      <c r="X87" s="4"/>
      <c r="Y87" s="4"/>
      <c r="Z87" s="4"/>
      <c r="AA87" s="1"/>
    </row>
    <row r="88" customFormat="false" ht="15" hidden="false" customHeight="false" outlineLevel="0" collapsed="false">
      <c r="E88" s="3" t="n">
        <v>53</v>
      </c>
      <c r="F88" s="15" t="n">
        <v>15</v>
      </c>
      <c r="G88" s="15" t="n">
        <v>35</v>
      </c>
      <c r="H88" s="15" t="n">
        <v>35</v>
      </c>
      <c r="I88" s="15" t="n">
        <v>170</v>
      </c>
      <c r="J88" s="15" t="n">
        <f aca="false">I88^2/H88</f>
        <v>825.714285714286</v>
      </c>
      <c r="K88" s="5" t="n">
        <f aca="false">H88/eff</f>
        <v>46.6666666666667</v>
      </c>
      <c r="L88" s="4" t="n">
        <f aca="false">F88^2*Dmax^2/(2*fs*H88)</f>
        <v>1.30178571428571E-005</v>
      </c>
      <c r="M88" s="1" t="n">
        <f aca="false">SQRT(2*fs*Lp*H88)/F88</f>
        <v>0.234662878757307</v>
      </c>
      <c r="N88" s="1" t="n">
        <f aca="false">F88*M88/(I88*(1-M88))</f>
        <v>0.027054153719899</v>
      </c>
      <c r="O88" s="5" t="n">
        <f aca="false">SQRT(2*H88/(fs*Lp))</f>
        <v>19.8866846404498</v>
      </c>
      <c r="P88" s="1" t="n">
        <f aca="false">H88/(F88*eff)</f>
        <v>3.11111111111111</v>
      </c>
      <c r="Q88" s="1" t="n">
        <f aca="false">O88*SQRT(M88/3)</f>
        <v>5.56190999334158</v>
      </c>
      <c r="R88" s="1" t="n">
        <f aca="false">H88/I88</f>
        <v>0.205882352941176</v>
      </c>
      <c r="S88" s="1" t="n">
        <f aca="false">SQRT(2*R88*n*O88/3)</f>
        <v>0.37061100904536</v>
      </c>
      <c r="T88" s="4" t="n">
        <f aca="false">0.5*Lp*O88^2</f>
        <v>0.0007</v>
      </c>
      <c r="U88" s="1" t="n">
        <f aca="false">F88*M88/(n*I88)</f>
        <v>0.411472059822796</v>
      </c>
      <c r="V88" s="4" t="n">
        <f aca="false">(n*O88-R88)*U88/(fs*n*O88)</f>
        <v>6.53634863630777E-006</v>
      </c>
      <c r="W88" s="4" t="n">
        <f aca="false">(n*O88-R88)*V88/(2*Cout)</f>
        <v>0.259763928192139</v>
      </c>
      <c r="X88" s="4"/>
      <c r="Y88" s="4"/>
      <c r="Z88" s="4"/>
      <c r="AA88" s="1"/>
    </row>
    <row r="89" customFormat="false" ht="15" hidden="false" customHeight="false" outlineLevel="0" collapsed="false">
      <c r="E89" s="3" t="n">
        <v>54</v>
      </c>
      <c r="F89" s="15" t="n">
        <v>18</v>
      </c>
      <c r="G89" s="15" t="n">
        <v>35</v>
      </c>
      <c r="H89" s="15" t="n">
        <v>35</v>
      </c>
      <c r="I89" s="15" t="n">
        <v>170</v>
      </c>
      <c r="J89" s="15" t="n">
        <f aca="false">I89^2/H89</f>
        <v>825.714285714286</v>
      </c>
      <c r="K89" s="5" t="n">
        <f aca="false">H89/eff</f>
        <v>46.6666666666667</v>
      </c>
      <c r="L89" s="4" t="n">
        <f aca="false">F89^2*Dmax^2/(2*fs*H89)</f>
        <v>1.87457142857143E-005</v>
      </c>
      <c r="M89" s="1" t="n">
        <f aca="false">SQRT(2*fs*Lp*H89)/F89</f>
        <v>0.195552398964423</v>
      </c>
      <c r="N89" s="1" t="n">
        <f aca="false">F89*M89/(I89*(1-M89))</f>
        <v>0.0257388400425213</v>
      </c>
      <c r="O89" s="5" t="n">
        <f aca="false">SQRT(2*H89/(fs*Lp))</f>
        <v>19.8866846404498</v>
      </c>
      <c r="P89" s="1" t="n">
        <f aca="false">H89/(F89*eff)</f>
        <v>2.59259259259259</v>
      </c>
      <c r="Q89" s="1" t="n">
        <f aca="false">O89*SQRT(M89/3)</f>
        <v>5.07730594361099</v>
      </c>
      <c r="R89" s="1" t="n">
        <f aca="false">H89/I89</f>
        <v>0.205882352941176</v>
      </c>
      <c r="S89" s="1" t="n">
        <f aca="false">SQRT(2*R89*n*O89/3)</f>
        <v>0.37061100904536</v>
      </c>
      <c r="T89" s="4" t="n">
        <f aca="false">0.5*Lp*O89^2</f>
        <v>0.0007</v>
      </c>
      <c r="U89" s="1" t="n">
        <f aca="false">F89*M89/(n*I89)</f>
        <v>0.411472059822796</v>
      </c>
      <c r="V89" s="4" t="n">
        <f aca="false">(n*O89-R89)*U89/(fs*n*O89)</f>
        <v>6.53634863630777E-006</v>
      </c>
      <c r="W89" s="4" t="n">
        <f aca="false">(n*O89-R89)*V89/(2*Cout)</f>
        <v>0.259763928192139</v>
      </c>
      <c r="X89" s="4"/>
      <c r="Y89" s="4"/>
      <c r="Z89" s="4"/>
      <c r="AA89" s="1"/>
    </row>
    <row r="90" customFormat="false" ht="15" hidden="false" customHeight="false" outlineLevel="0" collapsed="false">
      <c r="E90" s="3" t="n">
        <v>55</v>
      </c>
      <c r="F90" s="15" t="n">
        <v>20</v>
      </c>
      <c r="G90" s="15" t="n">
        <v>35</v>
      </c>
      <c r="H90" s="15" t="n">
        <v>35</v>
      </c>
      <c r="I90" s="15" t="n">
        <v>170</v>
      </c>
      <c r="J90" s="15" t="n">
        <f aca="false">I90^2/H90</f>
        <v>825.714285714286</v>
      </c>
      <c r="K90" s="5" t="n">
        <f aca="false">H90/eff</f>
        <v>46.6666666666667</v>
      </c>
      <c r="L90" s="4" t="n">
        <f aca="false">F90^2*Dmax^2/(2*fs*H90)</f>
        <v>2.31428571428571E-005</v>
      </c>
      <c r="M90" s="1" t="n">
        <f aca="false">SQRT(2*fs*Lp*H90)/F90</f>
        <v>0.17599715906798</v>
      </c>
      <c r="N90" s="1" t="n">
        <f aca="false">F90*M90/(I90*(1-M90))</f>
        <v>0.0251280057508357</v>
      </c>
      <c r="O90" s="5" t="n">
        <f aca="false">SQRT(2*H90/(fs*Lp))</f>
        <v>19.8866846404498</v>
      </c>
      <c r="P90" s="1" t="n">
        <f aca="false">H90/(F90*eff)</f>
        <v>2.33333333333333</v>
      </c>
      <c r="Q90" s="1" t="n">
        <f aca="false">O90*SQRT(M90/3)</f>
        <v>4.81675534779635</v>
      </c>
      <c r="R90" s="1" t="n">
        <f aca="false">H90/I90</f>
        <v>0.205882352941176</v>
      </c>
      <c r="S90" s="1" t="n">
        <f aca="false">SQRT(2*R90*n*O90/3)</f>
        <v>0.37061100904536</v>
      </c>
      <c r="T90" s="4" t="n">
        <f aca="false">0.5*Lp*O90^2</f>
        <v>0.0007</v>
      </c>
      <c r="U90" s="1" t="n">
        <f aca="false">F90*M90/(n*I90)</f>
        <v>0.411472059822796</v>
      </c>
      <c r="V90" s="4" t="n">
        <f aca="false">(n*O90-R90)*U90/(fs*n*O90)</f>
        <v>6.53634863630777E-006</v>
      </c>
      <c r="W90" s="4" t="n">
        <f aca="false">(n*O90-R90)*V90/(2*Cout)</f>
        <v>0.259763928192139</v>
      </c>
      <c r="X90" s="4"/>
      <c r="Y90" s="4"/>
      <c r="Z90" s="4"/>
      <c r="AA90" s="1"/>
    </row>
    <row r="91" customFormat="false" ht="15" hidden="false" customHeight="false" outlineLevel="0" collapsed="false">
      <c r="E91" s="3" t="n">
        <v>56</v>
      </c>
      <c r="F91" s="15" t="n">
        <v>24</v>
      </c>
      <c r="G91" s="15" t="n">
        <v>35</v>
      </c>
      <c r="H91" s="15" t="n">
        <v>35</v>
      </c>
      <c r="I91" s="15" t="n">
        <v>170</v>
      </c>
      <c r="J91" s="15" t="n">
        <f aca="false">I91^2/H91</f>
        <v>825.714285714286</v>
      </c>
      <c r="K91" s="5" t="n">
        <f aca="false">H91/eff</f>
        <v>46.6666666666667</v>
      </c>
      <c r="L91" s="4" t="n">
        <f aca="false">F91^2*Dmax^2/(2*fs*H91)</f>
        <v>3.33257142857143E-005</v>
      </c>
      <c r="M91" s="1" t="n">
        <f aca="false">SQRT(2*fs*Lp*H91)/F91</f>
        <v>0.146664299223317</v>
      </c>
      <c r="N91" s="1" t="n">
        <f aca="false">F91*M91/(I91*(1-M91))</f>
        <v>0.024264246892283</v>
      </c>
      <c r="O91" s="5" t="n">
        <f aca="false">SQRT(2*H91/(fs*Lp))</f>
        <v>19.8866846404498</v>
      </c>
      <c r="P91" s="1" t="n">
        <f aca="false">H91/(F91*eff)</f>
        <v>1.94444444444444</v>
      </c>
      <c r="Q91" s="1" t="n">
        <f aca="false">O91*SQRT(M91/3)</f>
        <v>4.39707592995284</v>
      </c>
      <c r="R91" s="1" t="n">
        <f aca="false">H91/I91</f>
        <v>0.205882352941176</v>
      </c>
      <c r="S91" s="1" t="n">
        <f aca="false">SQRT(2*R91*n*O91/3)</f>
        <v>0.37061100904536</v>
      </c>
      <c r="T91" s="4" t="n">
        <f aca="false">0.5*Lp*O91^2</f>
        <v>0.0007</v>
      </c>
      <c r="U91" s="1" t="n">
        <f aca="false">F91*M91/(n*I91)</f>
        <v>0.411472059822796</v>
      </c>
      <c r="V91" s="4" t="n">
        <f aca="false">(n*O91-R91)*U91/(fs*n*O91)</f>
        <v>6.53634863630777E-006</v>
      </c>
      <c r="W91" s="4" t="n">
        <f aca="false">(n*O91-R91)*V91/(2*Cout)</f>
        <v>0.259763928192139</v>
      </c>
      <c r="X91" s="4"/>
      <c r="Y91" s="4"/>
      <c r="Z91" s="4"/>
      <c r="AA91" s="1"/>
    </row>
    <row r="92" customFormat="false" ht="15" hidden="false" customHeight="false" outlineLevel="0" collapsed="false">
      <c r="E92" s="3" t="n">
        <v>19</v>
      </c>
      <c r="F92" s="15" t="n">
        <v>18</v>
      </c>
      <c r="G92" s="15" t="n">
        <v>35</v>
      </c>
      <c r="H92" s="15" t="n">
        <v>35</v>
      </c>
      <c r="I92" s="15" t="n">
        <v>100</v>
      </c>
      <c r="J92" s="15" t="n">
        <f aca="false">I92^2/H92</f>
        <v>285.714285714286</v>
      </c>
      <c r="K92" s="5" t="n">
        <f aca="false">H92/eff</f>
        <v>46.6666666666667</v>
      </c>
      <c r="L92" s="4" t="n">
        <f aca="false">F92^2*Dmax^2/(2*fs*H92)</f>
        <v>1.87457142857143E-005</v>
      </c>
      <c r="M92" s="1" t="n">
        <f aca="false">SQRT(2*fs*Lp*H92)/F92</f>
        <v>0.195552398964423</v>
      </c>
      <c r="N92" s="1" t="n">
        <f aca="false">F92*M92/(I92*(1-M92))</f>
        <v>0.0437560280722863</v>
      </c>
      <c r="O92" s="5" t="n">
        <f aca="false">SQRT(2*H92/(fs*Lp))</f>
        <v>19.8866846404498</v>
      </c>
      <c r="P92" s="1" t="n">
        <f aca="false">H92/(F92*eff)</f>
        <v>2.59259259259259</v>
      </c>
      <c r="Q92" s="1" t="n">
        <f aca="false">O92*SQRT(M92/3)</f>
        <v>5.07730594361099</v>
      </c>
      <c r="R92" s="1" t="n">
        <f aca="false">H92/I92</f>
        <v>0.35</v>
      </c>
      <c r="S92" s="1" t="n">
        <f aca="false">SQRT(2*R92*n*O92/3)</f>
        <v>0.483217636312618</v>
      </c>
      <c r="T92" s="4" t="n">
        <f aca="false">0.5*Lp*O92^2</f>
        <v>0.0007</v>
      </c>
      <c r="U92" s="1" t="n">
        <f aca="false">F92*M92/(n*I92)</f>
        <v>0.699502501698752</v>
      </c>
      <c r="V92" s="4" t="n">
        <f aca="false">(n*O92-R92)*U92/(fs*n*O92)</f>
        <v>9.09701253514691E-006</v>
      </c>
      <c r="W92" s="4" t="n">
        <f aca="false">(n*O92-R92)*V92/(2*Cout)</f>
        <v>0.295976405040365</v>
      </c>
      <c r="X92" s="4"/>
      <c r="Y92" s="4"/>
      <c r="Z92" s="4"/>
      <c r="AA92" s="1"/>
    </row>
    <row r="93" customFormat="false" ht="15" hidden="false" customHeight="false" outlineLevel="0" collapsed="false">
      <c r="E93" s="3" t="n">
        <v>85</v>
      </c>
      <c r="F93" s="15" t="n">
        <v>9</v>
      </c>
      <c r="G93" s="15" t="n">
        <v>35</v>
      </c>
      <c r="H93" s="15" t="n">
        <v>35</v>
      </c>
      <c r="I93" s="15" t="n">
        <v>250</v>
      </c>
      <c r="J93" s="15" t="n">
        <f aca="false">I93^2/H93</f>
        <v>1785.71428571429</v>
      </c>
      <c r="K93" s="5" t="n">
        <f aca="false">H93/eff</f>
        <v>46.6666666666667</v>
      </c>
      <c r="L93" s="4" t="n">
        <f aca="false">F93^2*Dmax^2/(2*fs*H93)</f>
        <v>4.68642857142857E-006</v>
      </c>
      <c r="M93" s="1" t="n">
        <f aca="false">SQRT(2*fs*Lp*H93)/F93</f>
        <v>0.391104797928845</v>
      </c>
      <c r="N93" s="1" t="n">
        <f aca="false">F93*M93/(I93*(1-M93))</f>
        <v>0.0231234745774743</v>
      </c>
      <c r="O93" s="5" t="n">
        <f aca="false">SQRT(2*H93/(fs*Lp))</f>
        <v>19.8866846404498</v>
      </c>
      <c r="P93" s="1" t="n">
        <f aca="false">H93/(F93*eff)</f>
        <v>5.18518518518519</v>
      </c>
      <c r="Q93" s="1" t="n">
        <f aca="false">O93*SQRT(M93/3)</f>
        <v>7.18039492577219</v>
      </c>
      <c r="R93" s="1" t="n">
        <f aca="false">H93/I93</f>
        <v>0.14</v>
      </c>
      <c r="S93" s="1" t="n">
        <f aca="false">SQRT(2*R93*n*O93/3)</f>
        <v>0.305613667262152</v>
      </c>
      <c r="T93" s="4" t="n">
        <f aca="false">0.5*Lp*O93^2</f>
        <v>0.0007</v>
      </c>
      <c r="U93" s="1" t="n">
        <f aca="false">F93*M93/(n*I93)</f>
        <v>0.279801000679501</v>
      </c>
      <c r="V93" s="4" t="n">
        <f aca="false">(n*O93-R93)*U93/(fs*n*O93)</f>
        <v>4.81313401377752E-006</v>
      </c>
      <c r="W93" s="4" t="n">
        <f aca="false">(n*O93-R93)*V93/(2*Cout)</f>
        <v>0.207135921808427</v>
      </c>
      <c r="X93" s="4"/>
      <c r="Y93" s="4"/>
      <c r="Z93" s="4"/>
      <c r="AA93" s="1"/>
    </row>
    <row r="94" customFormat="false" ht="15" hidden="false" customHeight="false" outlineLevel="0" collapsed="false">
      <c r="E94" s="3" t="n">
        <v>86</v>
      </c>
      <c r="F94" s="15" t="n">
        <v>10</v>
      </c>
      <c r="G94" s="15" t="n">
        <v>35</v>
      </c>
      <c r="H94" s="15" t="n">
        <v>35</v>
      </c>
      <c r="I94" s="15" t="n">
        <v>250</v>
      </c>
      <c r="J94" s="15" t="n">
        <f aca="false">I94^2/H94</f>
        <v>1785.71428571429</v>
      </c>
      <c r="K94" s="5" t="n">
        <f aca="false">H94/eff</f>
        <v>46.6666666666667</v>
      </c>
      <c r="L94" s="4" t="n">
        <f aca="false">F94^2*Dmax^2/(2*fs*H94)</f>
        <v>5.78571428571429E-006</v>
      </c>
      <c r="M94" s="1" t="n">
        <f aca="false">SQRT(2*fs*Lp*H94)/F94</f>
        <v>0.351994318135961</v>
      </c>
      <c r="N94" s="1" t="n">
        <f aca="false">F94*M94/(I94*(1-M94))</f>
        <v>0.0217278538128506</v>
      </c>
      <c r="O94" s="5" t="n">
        <f aca="false">SQRT(2*H94/(fs*Lp))</f>
        <v>19.8866846404498</v>
      </c>
      <c r="P94" s="1" t="n">
        <f aca="false">H94/(F94*eff)</f>
        <v>4.66666666666667</v>
      </c>
      <c r="Q94" s="1" t="n">
        <f aca="false">O94*SQRT(M94/3)</f>
        <v>6.81192073948673</v>
      </c>
      <c r="R94" s="1" t="n">
        <f aca="false">H94/I94</f>
        <v>0.14</v>
      </c>
      <c r="S94" s="1" t="n">
        <f aca="false">SQRT(2*R94*n*O94/3)</f>
        <v>0.305613667262152</v>
      </c>
      <c r="T94" s="4" t="n">
        <f aca="false">0.5*Lp*O94^2</f>
        <v>0.0007</v>
      </c>
      <c r="U94" s="1" t="n">
        <f aca="false">F94*M94/(n*I94)</f>
        <v>0.279801000679501</v>
      </c>
      <c r="V94" s="4" t="n">
        <f aca="false">(n*O94-R94)*U94/(fs*n*O94)</f>
        <v>4.81313401377752E-006</v>
      </c>
      <c r="W94" s="4" t="n">
        <f aca="false">(n*O94-R94)*V94/(2*Cout)</f>
        <v>0.207135921808427</v>
      </c>
      <c r="X94" s="4"/>
      <c r="Y94" s="4"/>
      <c r="Z94" s="4"/>
      <c r="AA94" s="1"/>
    </row>
    <row r="95" customFormat="false" ht="15" hidden="false" customHeight="false" outlineLevel="0" collapsed="false">
      <c r="E95" s="3" t="n">
        <v>88</v>
      </c>
      <c r="F95" s="15" t="n">
        <v>15</v>
      </c>
      <c r="G95" s="15" t="n">
        <v>35</v>
      </c>
      <c r="H95" s="15" t="n">
        <v>35</v>
      </c>
      <c r="I95" s="15" t="n">
        <v>250</v>
      </c>
      <c r="J95" s="15" t="n">
        <f aca="false">I95^2/H95</f>
        <v>1785.71428571429</v>
      </c>
      <c r="K95" s="5" t="n">
        <f aca="false">H95/eff</f>
        <v>46.6666666666667</v>
      </c>
      <c r="L95" s="4" t="n">
        <f aca="false">F95^2*Dmax^2/(2*fs*H95)</f>
        <v>1.30178571428571E-005</v>
      </c>
      <c r="M95" s="1" t="n">
        <f aca="false">SQRT(2*fs*Lp*H95)/F95</f>
        <v>0.234662878757307</v>
      </c>
      <c r="N95" s="1" t="n">
        <f aca="false">F95*M95/(I95*(1-M95))</f>
        <v>0.0183968245295313</v>
      </c>
      <c r="O95" s="5" t="n">
        <f aca="false">SQRT(2*H95/(fs*Lp))</f>
        <v>19.8866846404498</v>
      </c>
      <c r="P95" s="1" t="n">
        <f aca="false">H95/(F95*eff)</f>
        <v>3.11111111111111</v>
      </c>
      <c r="Q95" s="1" t="n">
        <f aca="false">O95*SQRT(M95/3)</f>
        <v>5.56190999334158</v>
      </c>
      <c r="R95" s="1" t="n">
        <f aca="false">H95/I95</f>
        <v>0.14</v>
      </c>
      <c r="S95" s="1" t="n">
        <f aca="false">SQRT(2*R95*n*O95/3)</f>
        <v>0.305613667262152</v>
      </c>
      <c r="T95" s="4" t="n">
        <f aca="false">0.5*Lp*O95^2</f>
        <v>0.0007</v>
      </c>
      <c r="U95" s="1" t="n">
        <f aca="false">F95*M95/(n*I95)</f>
        <v>0.279801000679501</v>
      </c>
      <c r="V95" s="4" t="n">
        <f aca="false">(n*O95-R95)*U95/(fs*n*O95)</f>
        <v>4.81313401377752E-006</v>
      </c>
      <c r="W95" s="4" t="n">
        <f aca="false">(n*O95-R95)*V95/(2*Cout)</f>
        <v>0.207135921808427</v>
      </c>
      <c r="X95" s="4"/>
      <c r="Y95" s="4"/>
      <c r="Z95" s="4"/>
      <c r="AA95" s="1"/>
    </row>
    <row r="96" customFormat="false" ht="15" hidden="false" customHeight="false" outlineLevel="0" collapsed="false">
      <c r="E96" s="3" t="n">
        <v>90</v>
      </c>
      <c r="F96" s="15" t="n">
        <v>20</v>
      </c>
      <c r="G96" s="15" t="n">
        <v>35</v>
      </c>
      <c r="H96" s="15" t="n">
        <v>35</v>
      </c>
      <c r="I96" s="15" t="n">
        <v>250</v>
      </c>
      <c r="J96" s="15" t="n">
        <f aca="false">I96^2/H96</f>
        <v>1785.71428571429</v>
      </c>
      <c r="K96" s="5" t="n">
        <f aca="false">H96/eff</f>
        <v>46.6666666666667</v>
      </c>
      <c r="L96" s="4" t="n">
        <f aca="false">F96^2*Dmax^2/(2*fs*H96)</f>
        <v>2.31428571428571E-005</v>
      </c>
      <c r="M96" s="1" t="n">
        <f aca="false">SQRT(2*fs*Lp*H96)/F96</f>
        <v>0.17599715906798</v>
      </c>
      <c r="N96" s="1" t="n">
        <f aca="false">F96*M96/(I96*(1-M96))</f>
        <v>0.0170870439105683</v>
      </c>
      <c r="O96" s="5" t="n">
        <f aca="false">SQRT(2*H96/(fs*Lp))</f>
        <v>19.8866846404498</v>
      </c>
      <c r="P96" s="1" t="n">
        <f aca="false">H96/(F96*eff)</f>
        <v>2.33333333333333</v>
      </c>
      <c r="Q96" s="1" t="n">
        <f aca="false">O96*SQRT(M96/3)</f>
        <v>4.81675534779635</v>
      </c>
      <c r="R96" s="1" t="n">
        <f aca="false">H96/I96</f>
        <v>0.14</v>
      </c>
      <c r="S96" s="1" t="n">
        <f aca="false">SQRT(2*R96*n*O96/3)</f>
        <v>0.305613667262152</v>
      </c>
      <c r="T96" s="4" t="n">
        <f aca="false">0.5*Lp*O96^2</f>
        <v>0.0007</v>
      </c>
      <c r="U96" s="1" t="n">
        <f aca="false">F96*M96/(n*I96)</f>
        <v>0.279801000679501</v>
      </c>
      <c r="V96" s="4" t="n">
        <f aca="false">(n*O96-R96)*U96/(fs*n*O96)</f>
        <v>4.81313401377752E-006</v>
      </c>
      <c r="W96" s="4" t="n">
        <f aca="false">(n*O96-R96)*V96/(2*Cout)</f>
        <v>0.207135921808427</v>
      </c>
      <c r="X96" s="4"/>
      <c r="Y96" s="4"/>
      <c r="Z96" s="4"/>
      <c r="AA96" s="1"/>
    </row>
    <row r="97" customFormat="false" ht="15" hidden="false" customHeight="false" outlineLevel="0" collapsed="false">
      <c r="E97" s="3" t="n">
        <v>89</v>
      </c>
      <c r="F97" s="15" t="n">
        <v>18</v>
      </c>
      <c r="G97" s="15" t="n">
        <v>35</v>
      </c>
      <c r="H97" s="15" t="n">
        <v>35</v>
      </c>
      <c r="I97" s="15" t="n">
        <v>250</v>
      </c>
      <c r="J97" s="15" t="n">
        <f aca="false">I97^2/H97</f>
        <v>1785.71428571429</v>
      </c>
      <c r="K97" s="5" t="n">
        <f aca="false">H97/eff</f>
        <v>46.6666666666667</v>
      </c>
      <c r="L97" s="4" t="n">
        <f aca="false">F97^2*Dmax^2/(2*fs*H97)</f>
        <v>1.87457142857143E-005</v>
      </c>
      <c r="M97" s="1" t="n">
        <f aca="false">SQRT(2*fs*Lp*H97)/F97</f>
        <v>0.195552398964423</v>
      </c>
      <c r="N97" s="1" t="n">
        <f aca="false">F97*M97/(I97*(1-M97))</f>
        <v>0.0175024112289145</v>
      </c>
      <c r="O97" s="5" t="n">
        <f aca="false">SQRT(2*H97/(fs*Lp))</f>
        <v>19.8866846404498</v>
      </c>
      <c r="P97" s="1" t="n">
        <f aca="false">H97/(F97*eff)</f>
        <v>2.59259259259259</v>
      </c>
      <c r="Q97" s="1" t="n">
        <f aca="false">O97*SQRT(M97/3)</f>
        <v>5.07730594361099</v>
      </c>
      <c r="R97" s="1" t="n">
        <f aca="false">H97/I97</f>
        <v>0.14</v>
      </c>
      <c r="S97" s="1" t="n">
        <f aca="false">SQRT(2*R97*n*O97/3)</f>
        <v>0.305613667262152</v>
      </c>
      <c r="T97" s="4" t="n">
        <f aca="false">0.5*Lp*O97^2</f>
        <v>0.0007</v>
      </c>
      <c r="U97" s="1" t="n">
        <f aca="false">F97*M97/(n*I97)</f>
        <v>0.279801000679501</v>
      </c>
      <c r="V97" s="4" t="n">
        <f aca="false">(n*O97-R97)*U97/(fs*n*O97)</f>
        <v>4.81313401377752E-006</v>
      </c>
      <c r="W97" s="4" t="n">
        <f aca="false">(n*O97-R97)*V97/(2*Cout)</f>
        <v>0.207135921808427</v>
      </c>
      <c r="X97" s="4"/>
      <c r="Y97" s="4"/>
      <c r="Z97" s="4"/>
      <c r="AA97" s="1"/>
    </row>
    <row r="98" customFormat="false" ht="15" hidden="false" customHeight="false" outlineLevel="0" collapsed="false">
      <c r="E98" s="3" t="n">
        <v>159</v>
      </c>
      <c r="F98" s="15" t="n">
        <v>18</v>
      </c>
      <c r="G98" s="15" t="n">
        <v>35</v>
      </c>
      <c r="H98" s="15" t="n">
        <v>35</v>
      </c>
      <c r="I98" s="15" t="n">
        <v>550</v>
      </c>
      <c r="J98" s="15" t="n">
        <f aca="false">I98^2/H98</f>
        <v>8642.85714285714</v>
      </c>
      <c r="K98" s="5" t="n">
        <f aca="false">H98/eff</f>
        <v>46.6666666666667</v>
      </c>
      <c r="L98" s="4" t="n">
        <f aca="false">F98^2*Dmax^2/(2*fs*H98)</f>
        <v>1.87457142857143E-005</v>
      </c>
      <c r="M98" s="1" t="n">
        <f aca="false">SQRT(2*fs*Lp*H98)/F98</f>
        <v>0.195552398964423</v>
      </c>
      <c r="N98" s="1" t="n">
        <f aca="false">F98*M98/(I98*(1-M98))</f>
        <v>0.00795564146768842</v>
      </c>
      <c r="O98" s="5" t="n">
        <f aca="false">SQRT(2*H98/(fs*Lp))</f>
        <v>19.8866846404498</v>
      </c>
      <c r="P98" s="1" t="n">
        <f aca="false">H98/(F98*eff)</f>
        <v>2.59259259259259</v>
      </c>
      <c r="Q98" s="1" t="n">
        <f aca="false">O98*SQRT(M98/3)</f>
        <v>5.07730594361099</v>
      </c>
      <c r="R98" s="1" t="n">
        <f aca="false">H98/I98</f>
        <v>0.0636363636363636</v>
      </c>
      <c r="S98" s="1" t="n">
        <f aca="false">SQRT(2*R98*n*O98/3)</f>
        <v>0.20604469243503</v>
      </c>
      <c r="T98" s="4" t="n">
        <f aca="false">0.5*Lp*O98^2</f>
        <v>0.0007</v>
      </c>
      <c r="U98" s="1" t="n">
        <f aca="false">F98*M98/(n*I98)</f>
        <v>0.127182273036137</v>
      </c>
      <c r="V98" s="4" t="n">
        <f aca="false">(n*O98-R98)*U98/(fs*n*O98)</f>
        <v>2.38189215497635E-006</v>
      </c>
      <c r="W98" s="4" t="n">
        <f aca="false">(n*O98-R98)*V98/(2*Cout)</f>
        <v>0.111600562131867</v>
      </c>
      <c r="X98" s="4"/>
      <c r="Y98" s="4"/>
      <c r="Z98" s="4"/>
      <c r="AA98" s="1"/>
    </row>
    <row r="99" customFormat="false" ht="15" hidden="false" customHeight="false" outlineLevel="0" collapsed="false">
      <c r="E99" s="3" t="n">
        <v>120</v>
      </c>
      <c r="F99" s="15" t="n">
        <v>9</v>
      </c>
      <c r="G99" s="15" t="n">
        <v>35</v>
      </c>
      <c r="H99" s="15" t="n">
        <v>35</v>
      </c>
      <c r="I99" s="15" t="n">
        <v>400</v>
      </c>
      <c r="J99" s="15" t="n">
        <f aca="false">I99^2/H99</f>
        <v>4571.42857142857</v>
      </c>
      <c r="K99" s="5" t="n">
        <f aca="false">H99/eff</f>
        <v>46.6666666666667</v>
      </c>
      <c r="L99" s="4" t="n">
        <f aca="false">F99^2*Dmax^2/(2*fs*H99)</f>
        <v>4.68642857142857E-006</v>
      </c>
      <c r="M99" s="1" t="n">
        <f aca="false">SQRT(2*fs*Lp*H99)/F99</f>
        <v>0.391104797928845</v>
      </c>
      <c r="N99" s="1" t="n">
        <f aca="false">F99*M99/(I99*(1-M99))</f>
        <v>0.0144521716109214</v>
      </c>
      <c r="O99" s="5" t="n">
        <f aca="false">SQRT(2*H99/(fs*Lp))</f>
        <v>19.8866846404498</v>
      </c>
      <c r="P99" s="1" t="n">
        <f aca="false">H99/(F99*eff)</f>
        <v>5.18518518518519</v>
      </c>
      <c r="Q99" s="1" t="n">
        <f aca="false">O99*SQRT(M99/3)</f>
        <v>7.18039492577219</v>
      </c>
      <c r="R99" s="1" t="n">
        <f aca="false">H99/I99</f>
        <v>0.0875</v>
      </c>
      <c r="S99" s="1" t="n">
        <f aca="false">SQRT(2*R99*n*O99/3)</f>
        <v>0.241608818156309</v>
      </c>
      <c r="T99" s="4" t="n">
        <f aca="false">0.5*Lp*O99^2</f>
        <v>0.0007</v>
      </c>
      <c r="U99" s="1" t="n">
        <f aca="false">F99*M99/(n*I99)</f>
        <v>0.174875625424688</v>
      </c>
      <c r="V99" s="4" t="n">
        <f aca="false">(n*O99-R99)*U99/(fs*n*O99)</f>
        <v>3.191697664817E-006</v>
      </c>
      <c r="W99" s="4" t="n">
        <f aca="false">(n*O99-R99)*V99/(2*Cout)</f>
        <v>0.145734705491765</v>
      </c>
      <c r="X99" s="4"/>
      <c r="Y99" s="4"/>
      <c r="Z99" s="4"/>
      <c r="AA99" s="1"/>
    </row>
    <row r="100" customFormat="false" ht="15" hidden="false" customHeight="false" outlineLevel="0" collapsed="false">
      <c r="E100" s="3" t="n">
        <v>121</v>
      </c>
      <c r="F100" s="15" t="n">
        <v>10</v>
      </c>
      <c r="G100" s="15" t="n">
        <v>35</v>
      </c>
      <c r="H100" s="15" t="n">
        <v>35</v>
      </c>
      <c r="I100" s="15" t="n">
        <v>400</v>
      </c>
      <c r="J100" s="15" t="n">
        <f aca="false">I100^2/H100</f>
        <v>4571.42857142857</v>
      </c>
      <c r="K100" s="5" t="n">
        <f aca="false">H100/eff</f>
        <v>46.6666666666667</v>
      </c>
      <c r="L100" s="4" t="n">
        <f aca="false">F100^2*Dmax^2/(2*fs*H100)</f>
        <v>5.78571428571429E-006</v>
      </c>
      <c r="M100" s="1" t="n">
        <f aca="false">SQRT(2*fs*Lp*H100)/F100</f>
        <v>0.351994318135961</v>
      </c>
      <c r="N100" s="1" t="n">
        <f aca="false">F100*M100/(I100*(1-M100))</f>
        <v>0.0135799086330316</v>
      </c>
      <c r="O100" s="5" t="n">
        <f aca="false">SQRT(2*H100/(fs*Lp))</f>
        <v>19.8866846404498</v>
      </c>
      <c r="P100" s="1" t="n">
        <f aca="false">H100/(F100*eff)</f>
        <v>4.66666666666667</v>
      </c>
      <c r="Q100" s="1" t="n">
        <f aca="false">O100*SQRT(M100/3)</f>
        <v>6.81192073948673</v>
      </c>
      <c r="R100" s="1" t="n">
        <f aca="false">H100/I100</f>
        <v>0.0875</v>
      </c>
      <c r="S100" s="1" t="n">
        <f aca="false">SQRT(2*R100*n*O100/3)</f>
        <v>0.241608818156309</v>
      </c>
      <c r="T100" s="4" t="n">
        <f aca="false">0.5*Lp*O100^2</f>
        <v>0.0007</v>
      </c>
      <c r="U100" s="1" t="n">
        <f aca="false">F100*M100/(n*I100)</f>
        <v>0.174875625424688</v>
      </c>
      <c r="V100" s="4" t="n">
        <f aca="false">(n*O100-R100)*U100/(fs*n*O100)</f>
        <v>3.191697664817E-006</v>
      </c>
      <c r="W100" s="4" t="n">
        <f aca="false">(n*O100-R100)*V100/(2*Cout)</f>
        <v>0.145734705491765</v>
      </c>
      <c r="X100" s="4"/>
      <c r="Y100" s="4"/>
      <c r="Z100" s="4"/>
      <c r="AA100" s="1"/>
    </row>
    <row r="101" customFormat="false" ht="15" hidden="false" customHeight="false" outlineLevel="0" collapsed="false">
      <c r="E101" s="3" t="n">
        <v>122</v>
      </c>
      <c r="F101" s="15" t="n">
        <v>12</v>
      </c>
      <c r="G101" s="15" t="n">
        <v>35</v>
      </c>
      <c r="H101" s="15" t="n">
        <v>35</v>
      </c>
      <c r="I101" s="15" t="n">
        <v>400</v>
      </c>
      <c r="J101" s="15" t="n">
        <f aca="false">I101^2/H101</f>
        <v>4571.42857142857</v>
      </c>
      <c r="K101" s="5" t="n">
        <f aca="false">H101/eff</f>
        <v>46.6666666666667</v>
      </c>
      <c r="L101" s="4" t="n">
        <f aca="false">F101^2*Dmax^2/(2*fs*H101)</f>
        <v>8.33142857142857E-006</v>
      </c>
      <c r="M101" s="1" t="n">
        <f aca="false">SQRT(2*fs*Lp*H101)/F101</f>
        <v>0.293328598446634</v>
      </c>
      <c r="N101" s="1" t="n">
        <f aca="false">F101*M101/(I101*(1-M101))</f>
        <v>0.0124525457434044</v>
      </c>
      <c r="O101" s="5" t="n">
        <f aca="false">SQRT(2*H101/(fs*Lp))</f>
        <v>19.8866846404498</v>
      </c>
      <c r="P101" s="1" t="n">
        <f aca="false">H101/(F101*eff)</f>
        <v>3.88888888888889</v>
      </c>
      <c r="Q101" s="1" t="n">
        <f aca="false">O101*SQRT(M101/3)</f>
        <v>6.21840441492359</v>
      </c>
      <c r="R101" s="1" t="n">
        <f aca="false">H101/I101</f>
        <v>0.0875</v>
      </c>
      <c r="S101" s="1" t="n">
        <f aca="false">SQRT(2*R101*n*O101/3)</f>
        <v>0.241608818156309</v>
      </c>
      <c r="T101" s="4" t="n">
        <f aca="false">0.5*Lp*O101^2</f>
        <v>0.0007</v>
      </c>
      <c r="U101" s="1" t="n">
        <f aca="false">F101*M101/(n*I101)</f>
        <v>0.174875625424688</v>
      </c>
      <c r="V101" s="4" t="n">
        <f aca="false">(n*O101-R101)*U101/(fs*n*O101)</f>
        <v>3.191697664817E-006</v>
      </c>
      <c r="W101" s="4" t="n">
        <f aca="false">(n*O101-R101)*V101/(2*Cout)</f>
        <v>0.145734705491765</v>
      </c>
      <c r="X101" s="4"/>
      <c r="Y101" s="4"/>
      <c r="Z101" s="4"/>
      <c r="AA101" s="1"/>
    </row>
    <row r="102" customFormat="false" ht="15" hidden="false" customHeight="false" outlineLevel="0" collapsed="false">
      <c r="E102" s="3" t="n">
        <v>123</v>
      </c>
      <c r="F102" s="15" t="n">
        <v>15</v>
      </c>
      <c r="G102" s="15" t="n">
        <v>35</v>
      </c>
      <c r="H102" s="15" t="n">
        <v>35</v>
      </c>
      <c r="I102" s="15" t="n">
        <v>400</v>
      </c>
      <c r="J102" s="15" t="n">
        <f aca="false">I102^2/H102</f>
        <v>4571.42857142857</v>
      </c>
      <c r="K102" s="5" t="n">
        <f aca="false">H102/eff</f>
        <v>46.6666666666667</v>
      </c>
      <c r="L102" s="4" t="n">
        <f aca="false">F102^2*Dmax^2/(2*fs*H102)</f>
        <v>1.30178571428571E-005</v>
      </c>
      <c r="M102" s="1" t="n">
        <f aca="false">SQRT(2*fs*Lp*H102)/F102</f>
        <v>0.234662878757307</v>
      </c>
      <c r="N102" s="1" t="n">
        <f aca="false">F102*M102/(I102*(1-M102))</f>
        <v>0.0114980153309571</v>
      </c>
      <c r="O102" s="5" t="n">
        <f aca="false">SQRT(2*H102/(fs*Lp))</f>
        <v>19.8866846404498</v>
      </c>
      <c r="P102" s="1" t="n">
        <f aca="false">H102/(F102*eff)</f>
        <v>3.11111111111111</v>
      </c>
      <c r="Q102" s="1" t="n">
        <f aca="false">O102*SQRT(M102/3)</f>
        <v>5.56190999334158</v>
      </c>
      <c r="R102" s="1" t="n">
        <f aca="false">H102/I102</f>
        <v>0.0875</v>
      </c>
      <c r="S102" s="1" t="n">
        <f aca="false">SQRT(2*R102*n*O102/3)</f>
        <v>0.241608818156309</v>
      </c>
      <c r="T102" s="4" t="n">
        <f aca="false">0.5*Lp*O102^2</f>
        <v>0.0007</v>
      </c>
      <c r="U102" s="1" t="n">
        <f aca="false">F102*M102/(n*I102)</f>
        <v>0.174875625424688</v>
      </c>
      <c r="V102" s="4" t="n">
        <f aca="false">(n*O102-R102)*U102/(fs*n*O102)</f>
        <v>3.191697664817E-006</v>
      </c>
      <c r="W102" s="4" t="n">
        <f aca="false">(n*O102-R102)*V102/(2*Cout)</f>
        <v>0.145734705491765</v>
      </c>
      <c r="X102" s="4"/>
      <c r="Y102" s="4"/>
      <c r="Z102" s="4"/>
      <c r="AA102" s="1"/>
    </row>
    <row r="103" customFormat="false" ht="15" hidden="false" customHeight="false" outlineLevel="0" collapsed="false">
      <c r="E103" s="3" t="n">
        <v>124</v>
      </c>
      <c r="F103" s="15" t="n">
        <v>18</v>
      </c>
      <c r="G103" s="15" t="n">
        <v>35</v>
      </c>
      <c r="H103" s="15" t="n">
        <v>35</v>
      </c>
      <c r="I103" s="15" t="n">
        <v>400</v>
      </c>
      <c r="J103" s="15" t="n">
        <f aca="false">I103^2/H103</f>
        <v>4571.42857142857</v>
      </c>
      <c r="K103" s="5" t="n">
        <f aca="false">H103/eff</f>
        <v>46.6666666666667</v>
      </c>
      <c r="L103" s="4" t="n">
        <f aca="false">F103^2*Dmax^2/(2*fs*H103)</f>
        <v>1.87457142857143E-005</v>
      </c>
      <c r="M103" s="1" t="n">
        <f aca="false">SQRT(2*fs*Lp*H103)/F103</f>
        <v>0.195552398964423</v>
      </c>
      <c r="N103" s="1" t="n">
        <f aca="false">F103*M103/(I103*(1-M103))</f>
        <v>0.0109390070180716</v>
      </c>
      <c r="O103" s="5" t="n">
        <f aca="false">SQRT(2*H103/(fs*Lp))</f>
        <v>19.8866846404498</v>
      </c>
      <c r="P103" s="1" t="n">
        <f aca="false">H103/(F103*eff)</f>
        <v>2.59259259259259</v>
      </c>
      <c r="Q103" s="1" t="n">
        <f aca="false">O103*SQRT(M103/3)</f>
        <v>5.07730594361099</v>
      </c>
      <c r="R103" s="1" t="n">
        <f aca="false">H103/I103</f>
        <v>0.0875</v>
      </c>
      <c r="S103" s="1" t="n">
        <f aca="false">SQRT(2*R103*n*O103/3)</f>
        <v>0.241608818156309</v>
      </c>
      <c r="T103" s="4" t="n">
        <f aca="false">0.5*Lp*O103^2</f>
        <v>0.0007</v>
      </c>
      <c r="U103" s="1" t="n">
        <f aca="false">F103*M103/(n*I103)</f>
        <v>0.174875625424688</v>
      </c>
      <c r="V103" s="4" t="n">
        <f aca="false">(n*O103-R103)*U103/(fs*n*O103)</f>
        <v>3.191697664817E-006</v>
      </c>
      <c r="W103" s="4" t="n">
        <f aca="false">(n*O103-R103)*V103/(2*Cout)</f>
        <v>0.145734705491765</v>
      </c>
      <c r="X103" s="4"/>
      <c r="Y103" s="4"/>
      <c r="Z103" s="4"/>
      <c r="AA103" s="1"/>
    </row>
    <row r="104" customFormat="false" ht="15" hidden="false" customHeight="false" outlineLevel="0" collapsed="false">
      <c r="E104" s="3" t="n">
        <v>125</v>
      </c>
      <c r="F104" s="15" t="n">
        <v>20</v>
      </c>
      <c r="G104" s="15" t="n">
        <v>35</v>
      </c>
      <c r="H104" s="15" t="n">
        <v>35</v>
      </c>
      <c r="I104" s="15" t="n">
        <v>400</v>
      </c>
      <c r="J104" s="15" t="n">
        <f aca="false">I104^2/H104</f>
        <v>4571.42857142857</v>
      </c>
      <c r="K104" s="5" t="n">
        <f aca="false">H104/eff</f>
        <v>46.6666666666667</v>
      </c>
      <c r="L104" s="4" t="n">
        <f aca="false">F104^2*Dmax^2/(2*fs*H104)</f>
        <v>2.31428571428571E-005</v>
      </c>
      <c r="M104" s="1" t="n">
        <f aca="false">SQRT(2*fs*Lp*H104)/F104</f>
        <v>0.17599715906798</v>
      </c>
      <c r="N104" s="1" t="n">
        <f aca="false">F104*M104/(I104*(1-M104))</f>
        <v>0.0106794024441052</v>
      </c>
      <c r="O104" s="5" t="n">
        <f aca="false">SQRT(2*H104/(fs*Lp))</f>
        <v>19.8866846404498</v>
      </c>
      <c r="P104" s="1" t="n">
        <f aca="false">H104/(F104*eff)</f>
        <v>2.33333333333333</v>
      </c>
      <c r="Q104" s="1" t="n">
        <f aca="false">O104*SQRT(M104/3)</f>
        <v>4.81675534779635</v>
      </c>
      <c r="R104" s="1" t="n">
        <f aca="false">H104/I104</f>
        <v>0.0875</v>
      </c>
      <c r="S104" s="1" t="n">
        <f aca="false">SQRT(2*R104*n*O104/3)</f>
        <v>0.241608818156309</v>
      </c>
      <c r="T104" s="4" t="n">
        <f aca="false">0.5*Lp*O104^2</f>
        <v>0.0007</v>
      </c>
      <c r="U104" s="1" t="n">
        <f aca="false">F104*M104/(n*I104)</f>
        <v>0.174875625424688</v>
      </c>
      <c r="V104" s="4" t="n">
        <f aca="false">(n*O104-R104)*U104/(fs*n*O104)</f>
        <v>3.191697664817E-006</v>
      </c>
      <c r="W104" s="4" t="n">
        <f aca="false">(n*O104-R104)*V104/(2*Cout)</f>
        <v>0.145734705491765</v>
      </c>
      <c r="X104" s="4"/>
      <c r="Y104" s="4"/>
      <c r="Z104" s="4"/>
      <c r="AA104" s="1"/>
    </row>
    <row r="105" customFormat="false" ht="15" hidden="false" customHeight="false" outlineLevel="0" collapsed="false">
      <c r="E105" s="3" t="n">
        <v>126</v>
      </c>
      <c r="F105" s="15" t="n">
        <v>24</v>
      </c>
      <c r="G105" s="15" t="n">
        <v>35</v>
      </c>
      <c r="H105" s="15" t="n">
        <v>35</v>
      </c>
      <c r="I105" s="15" t="n">
        <v>400</v>
      </c>
      <c r="J105" s="15" t="n">
        <f aca="false">I105^2/H105</f>
        <v>4571.42857142857</v>
      </c>
      <c r="K105" s="5" t="n">
        <f aca="false">H105/eff</f>
        <v>46.6666666666667</v>
      </c>
      <c r="L105" s="4" t="n">
        <f aca="false">F105^2*Dmax^2/(2*fs*H105)</f>
        <v>3.33257142857143E-005</v>
      </c>
      <c r="M105" s="1" t="n">
        <f aca="false">SQRT(2*fs*Lp*H105)/F105</f>
        <v>0.146664299223317</v>
      </c>
      <c r="N105" s="1" t="n">
        <f aca="false">F105*M105/(I105*(1-M105))</f>
        <v>0.0103123049292203</v>
      </c>
      <c r="O105" s="5" t="n">
        <f aca="false">SQRT(2*H105/(fs*Lp))</f>
        <v>19.8866846404498</v>
      </c>
      <c r="P105" s="1" t="n">
        <f aca="false">H105/(F105*eff)</f>
        <v>1.94444444444444</v>
      </c>
      <c r="Q105" s="1" t="n">
        <f aca="false">O105*SQRT(M105/3)</f>
        <v>4.39707592995284</v>
      </c>
      <c r="R105" s="1" t="n">
        <f aca="false">H105/I105</f>
        <v>0.0875</v>
      </c>
      <c r="S105" s="1" t="n">
        <f aca="false">SQRT(2*R105*n*O105/3)</f>
        <v>0.241608818156309</v>
      </c>
      <c r="T105" s="4" t="n">
        <f aca="false">0.5*Lp*O105^2</f>
        <v>0.0007</v>
      </c>
      <c r="U105" s="1" t="n">
        <f aca="false">F105*M105/(n*I105)</f>
        <v>0.174875625424688</v>
      </c>
      <c r="V105" s="4" t="n">
        <f aca="false">(n*O105-R105)*U105/(fs*n*O105)</f>
        <v>3.191697664817E-006</v>
      </c>
      <c r="W105" s="4" t="n">
        <f aca="false">(n*O105-R105)*V105/(2*Cout)</f>
        <v>0.145734705491765</v>
      </c>
      <c r="X105" s="4"/>
      <c r="Y105" s="4"/>
      <c r="Z105" s="4"/>
      <c r="AA105" s="1"/>
    </row>
    <row r="106" customFormat="false" ht="15" hidden="false" customHeight="false" outlineLevel="0" collapsed="false">
      <c r="E106" s="3" t="n">
        <v>21</v>
      </c>
      <c r="F106" s="15" t="n">
        <v>24</v>
      </c>
      <c r="G106" s="15" t="n">
        <v>35</v>
      </c>
      <c r="H106" s="15" t="n">
        <v>35</v>
      </c>
      <c r="I106" s="15" t="n">
        <v>100</v>
      </c>
      <c r="J106" s="15" t="n">
        <f aca="false">I106^2/H106</f>
        <v>285.714285714286</v>
      </c>
      <c r="K106" s="5" t="n">
        <f aca="false">H106/eff</f>
        <v>46.6666666666667</v>
      </c>
      <c r="L106" s="4" t="n">
        <f aca="false">F106^2*Dmax^2/(2*fs*H106)</f>
        <v>3.33257142857143E-005</v>
      </c>
      <c r="M106" s="1" t="n">
        <f aca="false">SQRT(2*fs*Lp*H106)/F106</f>
        <v>0.146664299223317</v>
      </c>
      <c r="N106" s="1" t="n">
        <f aca="false">F106*M106/(I106*(1-M106))</f>
        <v>0.0412492197168811</v>
      </c>
      <c r="O106" s="5" t="n">
        <f aca="false">SQRT(2*H106/(fs*Lp))</f>
        <v>19.8866846404498</v>
      </c>
      <c r="P106" s="1" t="n">
        <f aca="false">H106/(F106*eff)</f>
        <v>1.94444444444444</v>
      </c>
      <c r="Q106" s="1" t="n">
        <f aca="false">O106*SQRT(M106/3)</f>
        <v>4.39707592995284</v>
      </c>
      <c r="R106" s="1" t="n">
        <f aca="false">H106/I106</f>
        <v>0.35</v>
      </c>
      <c r="S106" s="1" t="n">
        <f aca="false">SQRT(2*R106*n*O106/3)</f>
        <v>0.483217636312618</v>
      </c>
      <c r="T106" s="4" t="n">
        <f aca="false">0.5*Lp*O106^2</f>
        <v>0.0007</v>
      </c>
      <c r="U106" s="1" t="n">
        <f aca="false">F106*M106/(n*I106)</f>
        <v>0.699502501698752</v>
      </c>
      <c r="V106" s="4" t="n">
        <f aca="false">(n*O106-R106)*U106/(fs*n*O106)</f>
        <v>9.09701253514691E-006</v>
      </c>
      <c r="W106" s="4" t="n">
        <f aca="false">(n*O106-R106)*V106/(2*Cout)</f>
        <v>0.295976405040365</v>
      </c>
      <c r="X106" s="4"/>
      <c r="Y106" s="4"/>
      <c r="Z106" s="4"/>
      <c r="AA106" s="1"/>
    </row>
    <row r="107" customFormat="false" ht="15" hidden="false" customHeight="false" outlineLevel="0" collapsed="false">
      <c r="E107" s="3" t="n">
        <v>155</v>
      </c>
      <c r="F107" s="15" t="n">
        <v>9</v>
      </c>
      <c r="G107" s="15" t="n">
        <v>35</v>
      </c>
      <c r="H107" s="15" t="n">
        <v>35</v>
      </c>
      <c r="I107" s="15" t="n">
        <v>550</v>
      </c>
      <c r="J107" s="15" t="n">
        <f aca="false">I107^2/H107</f>
        <v>8642.85714285714</v>
      </c>
      <c r="K107" s="5" t="n">
        <f aca="false">H107/eff</f>
        <v>46.6666666666667</v>
      </c>
      <c r="L107" s="4" t="n">
        <f aca="false">F107^2*Dmax^2/(2*fs*H107)</f>
        <v>4.68642857142857E-006</v>
      </c>
      <c r="M107" s="1" t="n">
        <f aca="false">SQRT(2*fs*Lp*H107)/F107</f>
        <v>0.391104797928845</v>
      </c>
      <c r="N107" s="1" t="n">
        <f aca="false">F107*M107/(I107*(1-M107))</f>
        <v>0.0105106702624883</v>
      </c>
      <c r="O107" s="5" t="n">
        <f aca="false">SQRT(2*H107/(fs*Lp))</f>
        <v>19.8866846404498</v>
      </c>
      <c r="P107" s="1" t="n">
        <f aca="false">H107/(F107*eff)</f>
        <v>5.18518518518519</v>
      </c>
      <c r="Q107" s="1" t="n">
        <f aca="false">O107*SQRT(M107/3)</f>
        <v>7.18039492577219</v>
      </c>
      <c r="R107" s="1" t="n">
        <f aca="false">H107/I107</f>
        <v>0.0636363636363636</v>
      </c>
      <c r="S107" s="1" t="n">
        <f aca="false">SQRT(2*R107*n*O107/3)</f>
        <v>0.20604469243503</v>
      </c>
      <c r="T107" s="4" t="n">
        <f aca="false">0.5*Lp*O107^2</f>
        <v>0.0007</v>
      </c>
      <c r="U107" s="1" t="n">
        <f aca="false">F107*M107/(n*I107)</f>
        <v>0.127182273036137</v>
      </c>
      <c r="V107" s="4" t="n">
        <f aca="false">(n*O107-R107)*U107/(fs*n*O107)</f>
        <v>2.38189215497635E-006</v>
      </c>
      <c r="W107" s="4" t="n">
        <f aca="false">(n*O107-R107)*V107/(2*Cout)</f>
        <v>0.111600562131867</v>
      </c>
      <c r="X107" s="4"/>
      <c r="Y107" s="4"/>
      <c r="Z107" s="4"/>
      <c r="AA107" s="1"/>
    </row>
    <row r="108" customFormat="false" ht="15" hidden="false" customHeight="false" outlineLevel="0" collapsed="false">
      <c r="E108" s="3" t="n">
        <v>156</v>
      </c>
      <c r="F108" s="15" t="n">
        <v>10</v>
      </c>
      <c r="G108" s="15" t="n">
        <v>35</v>
      </c>
      <c r="H108" s="15" t="n">
        <v>35</v>
      </c>
      <c r="I108" s="15" t="n">
        <v>550</v>
      </c>
      <c r="J108" s="15" t="n">
        <f aca="false">I108^2/H108</f>
        <v>8642.85714285714</v>
      </c>
      <c r="K108" s="5" t="n">
        <f aca="false">H108/eff</f>
        <v>46.6666666666667</v>
      </c>
      <c r="L108" s="4" t="n">
        <f aca="false">F108^2*Dmax^2/(2*fs*H108)</f>
        <v>5.78571428571429E-006</v>
      </c>
      <c r="M108" s="1" t="n">
        <f aca="false">SQRT(2*fs*Lp*H108)/F108</f>
        <v>0.351994318135961</v>
      </c>
      <c r="N108" s="1" t="n">
        <f aca="false">F108*M108/(I108*(1-M108))</f>
        <v>0.00987629718765938</v>
      </c>
      <c r="O108" s="5" t="n">
        <f aca="false">SQRT(2*H108/(fs*Lp))</f>
        <v>19.8866846404498</v>
      </c>
      <c r="P108" s="1" t="n">
        <f aca="false">H108/(F108*eff)</f>
        <v>4.66666666666667</v>
      </c>
      <c r="Q108" s="1" t="n">
        <f aca="false">O108*SQRT(M108/3)</f>
        <v>6.81192073948673</v>
      </c>
      <c r="R108" s="1" t="n">
        <f aca="false">H108/I108</f>
        <v>0.0636363636363636</v>
      </c>
      <c r="S108" s="1" t="n">
        <f aca="false">SQRT(2*R108*n*O108/3)</f>
        <v>0.20604469243503</v>
      </c>
      <c r="T108" s="4" t="n">
        <f aca="false">0.5*Lp*O108^2</f>
        <v>0.0007</v>
      </c>
      <c r="U108" s="1" t="n">
        <f aca="false">F108*M108/(n*I108)</f>
        <v>0.127182273036137</v>
      </c>
      <c r="V108" s="4" t="n">
        <f aca="false">(n*O108-R108)*U108/(fs*n*O108)</f>
        <v>2.38189215497635E-006</v>
      </c>
      <c r="W108" s="4" t="n">
        <f aca="false">(n*O108-R108)*V108/(2*Cout)</f>
        <v>0.111600562131867</v>
      </c>
      <c r="X108" s="4"/>
      <c r="Y108" s="4"/>
      <c r="Z108" s="4"/>
      <c r="AA108" s="1"/>
    </row>
    <row r="109" customFormat="false" ht="15" hidden="false" customHeight="false" outlineLevel="0" collapsed="false">
      <c r="E109" s="3" t="n">
        <v>158</v>
      </c>
      <c r="F109" s="15" t="n">
        <v>15</v>
      </c>
      <c r="G109" s="15" t="n">
        <v>35</v>
      </c>
      <c r="H109" s="15" t="n">
        <v>35</v>
      </c>
      <c r="I109" s="15" t="n">
        <v>550</v>
      </c>
      <c r="J109" s="15" t="n">
        <f aca="false">I109^2/H109</f>
        <v>8642.85714285714</v>
      </c>
      <c r="K109" s="5" t="n">
        <f aca="false">H109/eff</f>
        <v>46.6666666666667</v>
      </c>
      <c r="L109" s="4" t="n">
        <f aca="false">F109^2*Dmax^2/(2*fs*H109)</f>
        <v>1.30178571428571E-005</v>
      </c>
      <c r="M109" s="1" t="n">
        <f aca="false">SQRT(2*fs*Lp*H109)/F109</f>
        <v>0.234662878757307</v>
      </c>
      <c r="N109" s="1" t="n">
        <f aca="false">F109*M109/(I109*(1-M109))</f>
        <v>0.00836219296796877</v>
      </c>
      <c r="O109" s="5" t="n">
        <f aca="false">SQRT(2*H109/(fs*Lp))</f>
        <v>19.8866846404498</v>
      </c>
      <c r="P109" s="1" t="n">
        <f aca="false">H109/(F109*eff)</f>
        <v>3.11111111111111</v>
      </c>
      <c r="Q109" s="1" t="n">
        <f aca="false">O109*SQRT(M109/3)</f>
        <v>5.56190999334158</v>
      </c>
      <c r="R109" s="1" t="n">
        <f aca="false">H109/I109</f>
        <v>0.0636363636363636</v>
      </c>
      <c r="S109" s="1" t="n">
        <f aca="false">SQRT(2*R109*n*O109/3)</f>
        <v>0.20604469243503</v>
      </c>
      <c r="T109" s="4" t="n">
        <f aca="false">0.5*Lp*O109^2</f>
        <v>0.0007</v>
      </c>
      <c r="U109" s="1" t="n">
        <f aca="false">F109*M109/(n*I109)</f>
        <v>0.127182273036137</v>
      </c>
      <c r="V109" s="4" t="n">
        <f aca="false">(n*O109-R109)*U109/(fs*n*O109)</f>
        <v>2.38189215497635E-006</v>
      </c>
      <c r="W109" s="4" t="n">
        <f aca="false">(n*O109-R109)*V109/(2*Cout)</f>
        <v>0.111600562131867</v>
      </c>
      <c r="X109" s="4"/>
      <c r="Y109" s="4"/>
      <c r="Z109" s="4"/>
      <c r="AA109" s="1"/>
    </row>
    <row r="110" customFormat="false" ht="15" hidden="false" customHeight="false" outlineLevel="0" collapsed="false">
      <c r="E110" s="3" t="n">
        <v>91</v>
      </c>
      <c r="F110" s="15" t="n">
        <v>24</v>
      </c>
      <c r="G110" s="15" t="n">
        <v>35</v>
      </c>
      <c r="H110" s="15" t="n">
        <v>35</v>
      </c>
      <c r="I110" s="15" t="n">
        <v>250</v>
      </c>
      <c r="J110" s="15" t="n">
        <f aca="false">I110^2/H110</f>
        <v>1785.71428571429</v>
      </c>
      <c r="K110" s="5" t="n">
        <f aca="false">H110/eff</f>
        <v>46.6666666666667</v>
      </c>
      <c r="L110" s="4" t="n">
        <f aca="false">F110^2*Dmax^2/(2*fs*H110)</f>
        <v>3.33257142857143E-005</v>
      </c>
      <c r="M110" s="1" t="n">
        <f aca="false">SQRT(2*fs*Lp*H110)/F110</f>
        <v>0.146664299223317</v>
      </c>
      <c r="N110" s="1" t="n">
        <f aca="false">F110*M110/(I110*(1-M110))</f>
        <v>0.0164996878867524</v>
      </c>
      <c r="O110" s="5" t="n">
        <f aca="false">SQRT(2*H110/(fs*Lp))</f>
        <v>19.8866846404498</v>
      </c>
      <c r="P110" s="1" t="n">
        <f aca="false">H110/(F110*eff)</f>
        <v>1.94444444444444</v>
      </c>
      <c r="Q110" s="1" t="n">
        <f aca="false">O110*SQRT(M110/3)</f>
        <v>4.39707592995284</v>
      </c>
      <c r="R110" s="1" t="n">
        <f aca="false">H110/I110</f>
        <v>0.14</v>
      </c>
      <c r="S110" s="1" t="n">
        <f aca="false">SQRT(2*R110*n*O110/3)</f>
        <v>0.305613667262152</v>
      </c>
      <c r="T110" s="4" t="n">
        <f aca="false">0.5*Lp*O110^2</f>
        <v>0.0007</v>
      </c>
      <c r="U110" s="1" t="n">
        <f aca="false">F110*M110/(n*I110)</f>
        <v>0.279801000679501</v>
      </c>
      <c r="V110" s="4" t="n">
        <f aca="false">(n*O110-R110)*U110/(fs*n*O110)</f>
        <v>4.81313401377752E-006</v>
      </c>
      <c r="W110" s="4" t="n">
        <f aca="false">(n*O110-R110)*V110/(2*Cout)</f>
        <v>0.207135921808427</v>
      </c>
      <c r="X110" s="4"/>
      <c r="Y110" s="4"/>
      <c r="Z110" s="4"/>
      <c r="AA110" s="1"/>
    </row>
    <row r="111" customFormat="false" ht="15" hidden="false" customHeight="false" outlineLevel="0" collapsed="false">
      <c r="E111" s="3" t="n">
        <v>160</v>
      </c>
      <c r="F111" s="15" t="n">
        <v>20</v>
      </c>
      <c r="G111" s="15" t="n">
        <v>35</v>
      </c>
      <c r="H111" s="15" t="n">
        <v>35</v>
      </c>
      <c r="I111" s="15" t="n">
        <v>550</v>
      </c>
      <c r="J111" s="15" t="n">
        <f aca="false">I111^2/H111</f>
        <v>8642.85714285714</v>
      </c>
      <c r="K111" s="5" t="n">
        <f aca="false">H111/eff</f>
        <v>46.6666666666667</v>
      </c>
      <c r="L111" s="4" t="n">
        <f aca="false">F111^2*Dmax^2/(2*fs*H111)</f>
        <v>2.31428571428571E-005</v>
      </c>
      <c r="M111" s="1" t="n">
        <f aca="false">SQRT(2*fs*Lp*H111)/F111</f>
        <v>0.17599715906798</v>
      </c>
      <c r="N111" s="1" t="n">
        <f aca="false">F111*M111/(I111*(1-M111))</f>
        <v>0.0077668381411674</v>
      </c>
      <c r="O111" s="5" t="n">
        <f aca="false">SQRT(2*H111/(fs*Lp))</f>
        <v>19.8866846404498</v>
      </c>
      <c r="P111" s="1" t="n">
        <f aca="false">H111/(F111*eff)</f>
        <v>2.33333333333333</v>
      </c>
      <c r="Q111" s="1" t="n">
        <f aca="false">O111*SQRT(M111/3)</f>
        <v>4.81675534779635</v>
      </c>
      <c r="R111" s="1" t="n">
        <f aca="false">H111/I111</f>
        <v>0.0636363636363636</v>
      </c>
      <c r="S111" s="1" t="n">
        <f aca="false">SQRT(2*R111*n*O111/3)</f>
        <v>0.20604469243503</v>
      </c>
      <c r="T111" s="4" t="n">
        <f aca="false">0.5*Lp*O111^2</f>
        <v>0.0007</v>
      </c>
      <c r="U111" s="1" t="n">
        <f aca="false">F111*M111/(n*I111)</f>
        <v>0.127182273036137</v>
      </c>
      <c r="V111" s="4" t="n">
        <f aca="false">(n*O111-R111)*U111/(fs*n*O111)</f>
        <v>2.38189215497635E-006</v>
      </c>
      <c r="W111" s="4" t="n">
        <f aca="false">(n*O111-R111)*V111/(2*Cout)</f>
        <v>0.111600562131867</v>
      </c>
      <c r="X111" s="4"/>
      <c r="Y111" s="4"/>
      <c r="Z111" s="4"/>
      <c r="AA111" s="1"/>
    </row>
    <row r="112" customFormat="false" ht="15" hidden="false" customHeight="false" outlineLevel="0" collapsed="false">
      <c r="E112" s="3" t="n">
        <v>161</v>
      </c>
      <c r="F112" s="15" t="n">
        <v>24</v>
      </c>
      <c r="G112" s="15" t="n">
        <v>35</v>
      </c>
      <c r="H112" s="15" t="n">
        <v>35</v>
      </c>
      <c r="I112" s="15" t="n">
        <v>550</v>
      </c>
      <c r="J112" s="15" t="n">
        <f aca="false">I112^2/H112</f>
        <v>8642.85714285714</v>
      </c>
      <c r="K112" s="5" t="n">
        <f aca="false">H112/eff</f>
        <v>46.6666666666667</v>
      </c>
      <c r="L112" s="4" t="n">
        <f aca="false">F112^2*Dmax^2/(2*fs*H112)</f>
        <v>3.33257142857143E-005</v>
      </c>
      <c r="M112" s="1" t="n">
        <f aca="false">SQRT(2*fs*Lp*H112)/F112</f>
        <v>0.146664299223317</v>
      </c>
      <c r="N112" s="1" t="n">
        <f aca="false">F112*M112/(I112*(1-M112))</f>
        <v>0.00749985813034201</v>
      </c>
      <c r="O112" s="5" t="n">
        <f aca="false">SQRT(2*H112/(fs*Lp))</f>
        <v>19.8866846404498</v>
      </c>
      <c r="P112" s="1" t="n">
        <f aca="false">H112/(F112*eff)</f>
        <v>1.94444444444444</v>
      </c>
      <c r="Q112" s="1" t="n">
        <f aca="false">O112*SQRT(M112/3)</f>
        <v>4.39707592995284</v>
      </c>
      <c r="R112" s="1" t="n">
        <f aca="false">H112/I112</f>
        <v>0.0636363636363636</v>
      </c>
      <c r="S112" s="1" t="n">
        <f aca="false">SQRT(2*R112*n*O112/3)</f>
        <v>0.20604469243503</v>
      </c>
      <c r="T112" s="4" t="n">
        <f aca="false">0.5*Lp*O112^2</f>
        <v>0.0007</v>
      </c>
      <c r="U112" s="1" t="n">
        <f aca="false">F112*M112/(n*I112)</f>
        <v>0.127182273036137</v>
      </c>
      <c r="V112" s="4" t="n">
        <f aca="false">(n*O112-R112)*U112/(fs*n*O112)</f>
        <v>2.38189215497635E-006</v>
      </c>
      <c r="W112" s="4" t="n">
        <f aca="false">(n*O112-R112)*V112/(2*Cout)</f>
        <v>0.111600562131867</v>
      </c>
      <c r="X112" s="4"/>
      <c r="Y112" s="4"/>
      <c r="Z112" s="4"/>
      <c r="AA112" s="1"/>
    </row>
    <row r="113" customFormat="false" ht="15" hidden="false" customHeight="false" outlineLevel="0" collapsed="false">
      <c r="E113" s="3" t="n">
        <v>24</v>
      </c>
      <c r="F113" s="15" t="n">
        <v>12</v>
      </c>
      <c r="G113" s="15" t="n">
        <v>55</v>
      </c>
      <c r="H113" s="31" t="n">
        <v>35</v>
      </c>
      <c r="I113" s="15" t="n">
        <v>100</v>
      </c>
      <c r="J113" s="15" t="n">
        <f aca="false">I113^2/H113</f>
        <v>285.714285714286</v>
      </c>
      <c r="K113" s="5" t="n">
        <f aca="false">H113/eff</f>
        <v>46.6666666666667</v>
      </c>
      <c r="L113" s="4" t="n">
        <f aca="false">F113^2*Dmax^2/(2*fs*H113)</f>
        <v>8.33142857142857E-006</v>
      </c>
      <c r="M113" s="1" t="n">
        <f aca="false">SQRT(2*fs*Lp*H113)/F113</f>
        <v>0.293328598446634</v>
      </c>
      <c r="N113" s="1" t="n">
        <f aca="false">F113*M113/(I113*(1-M113))</f>
        <v>0.0498101829736178</v>
      </c>
      <c r="O113" s="5" t="n">
        <f aca="false">SQRT(2*H113/(fs*Lp))</f>
        <v>19.8866846404498</v>
      </c>
      <c r="P113" s="1" t="n">
        <f aca="false">H113/(F113*eff)</f>
        <v>3.88888888888889</v>
      </c>
      <c r="Q113" s="1" t="n">
        <f aca="false">O113*SQRT(M113/3)</f>
        <v>6.21840441492359</v>
      </c>
      <c r="R113" s="1" t="n">
        <f aca="false">H113/I113</f>
        <v>0.35</v>
      </c>
      <c r="S113" s="1" t="n">
        <f aca="false">SQRT(2*R113*n*O113/3)</f>
        <v>0.483217636312618</v>
      </c>
      <c r="T113" s="4" t="n">
        <f aca="false">0.5*Lp*O113^2</f>
        <v>0.0007</v>
      </c>
      <c r="U113" s="1" t="n">
        <f aca="false">F113*M113/(n*I113)</f>
        <v>0.699502501698752</v>
      </c>
      <c r="V113" s="4" t="n">
        <f aca="false">(n*O113-R113)*U113/(fs*n*O113)</f>
        <v>9.09701253514691E-006</v>
      </c>
      <c r="W113" s="4" t="n">
        <f aca="false">(n*O113-R113)*V113/(2*Cout)</f>
        <v>0.295976405040365</v>
      </c>
      <c r="X113" s="4"/>
      <c r="Y113" s="4"/>
      <c r="Z113" s="4"/>
      <c r="AA113" s="1"/>
    </row>
    <row r="114" customFormat="false" ht="15" hidden="false" customHeight="false" outlineLevel="0" collapsed="false">
      <c r="E114" s="3" t="n">
        <v>31</v>
      </c>
      <c r="F114" s="15" t="n">
        <v>12</v>
      </c>
      <c r="G114" s="15" t="n">
        <v>70</v>
      </c>
      <c r="H114" s="31" t="n">
        <v>35</v>
      </c>
      <c r="I114" s="15" t="n">
        <v>100</v>
      </c>
      <c r="J114" s="15" t="n">
        <f aca="false">I114^2/H114</f>
        <v>285.714285714286</v>
      </c>
      <c r="K114" s="5" t="n">
        <f aca="false">H114/eff</f>
        <v>46.6666666666667</v>
      </c>
      <c r="L114" s="4" t="n">
        <f aca="false">F114^2*Dmax^2/(2*fs*H114)</f>
        <v>8.33142857142857E-006</v>
      </c>
      <c r="M114" s="1" t="n">
        <f aca="false">SQRT(2*fs*Lp*H114)/F114</f>
        <v>0.293328598446634</v>
      </c>
      <c r="N114" s="1" t="n">
        <f aca="false">F114*M114/(I114*(1-M114))</f>
        <v>0.0498101829736178</v>
      </c>
      <c r="O114" s="5" t="n">
        <f aca="false">SQRT(2*H114/(fs*Lp))</f>
        <v>19.8866846404498</v>
      </c>
      <c r="P114" s="1" t="n">
        <f aca="false">H114/(F114*eff)</f>
        <v>3.88888888888889</v>
      </c>
      <c r="Q114" s="1" t="n">
        <f aca="false">O114*SQRT(M114/3)</f>
        <v>6.21840441492359</v>
      </c>
      <c r="R114" s="1" t="n">
        <f aca="false">H114/I114</f>
        <v>0.35</v>
      </c>
      <c r="S114" s="1" t="n">
        <f aca="false">SQRT(2*R114*n*O114/3)</f>
        <v>0.483217636312618</v>
      </c>
      <c r="T114" s="4" t="n">
        <f aca="false">0.5*Lp*O114^2</f>
        <v>0.0007</v>
      </c>
      <c r="U114" s="1" t="n">
        <f aca="false">F114*M114/(n*I114)</f>
        <v>0.699502501698752</v>
      </c>
      <c r="V114" s="4" t="n">
        <f aca="false">(n*O114-R114)*U114/(fs*n*O114)</f>
        <v>9.09701253514691E-006</v>
      </c>
      <c r="W114" s="4" t="n">
        <f aca="false">(n*O114-R114)*V114/(2*Cout)</f>
        <v>0.295976405040365</v>
      </c>
      <c r="X114" s="4"/>
      <c r="Y114" s="4"/>
      <c r="Z114" s="15"/>
      <c r="AA114" s="1"/>
    </row>
    <row r="115" customFormat="false" ht="15" hidden="false" customHeight="false" outlineLevel="0" collapsed="false">
      <c r="E115" s="3" t="n">
        <v>25</v>
      </c>
      <c r="F115" s="15" t="n">
        <v>24</v>
      </c>
      <c r="G115" s="15" t="n">
        <v>55</v>
      </c>
      <c r="H115" s="31" t="n">
        <v>40</v>
      </c>
      <c r="I115" s="15" t="n">
        <v>100</v>
      </c>
      <c r="J115" s="15" t="n">
        <f aca="false">I115^2/H115</f>
        <v>250</v>
      </c>
      <c r="K115" s="5" t="n">
        <f aca="false">H115/eff</f>
        <v>53.3333333333333</v>
      </c>
      <c r="L115" s="4" t="n">
        <f aca="false">F115^2*Dmax^2/(2*fs*H115)</f>
        <v>2.916E-005</v>
      </c>
      <c r="M115" s="1" t="n">
        <f aca="false">SQRT(2*fs*Lp*H115)/F115</f>
        <v>0.156790731018556</v>
      </c>
      <c r="N115" s="1" t="n">
        <f aca="false">F115*M115/(I115*(1-M115))</f>
        <v>0.0446268522284018</v>
      </c>
      <c r="O115" s="5" t="n">
        <f aca="false">SQRT(2*H115/(fs*Lp))</f>
        <v>21.2597601381094</v>
      </c>
      <c r="P115" s="1" t="n">
        <f aca="false">H115/(F115*eff)</f>
        <v>2.22222222222222</v>
      </c>
      <c r="Q115" s="1" t="n">
        <f aca="false">O115*SQRT(M115/3)</f>
        <v>4.86024235085149</v>
      </c>
      <c r="R115" s="1" t="n">
        <f aca="false">H115/I115</f>
        <v>0.4</v>
      </c>
      <c r="S115" s="1" t="n">
        <f aca="false">SQRT(2*R115*n*O115/3)</f>
        <v>0.53411741304866</v>
      </c>
      <c r="T115" s="4" t="n">
        <f aca="false">0.5*Lp*O115^2</f>
        <v>0.0008</v>
      </c>
      <c r="U115" s="1" t="n">
        <f aca="false">F115*M115/(n*I115)</f>
        <v>0.747799629299425</v>
      </c>
      <c r="V115" s="4" t="n">
        <f aca="false">(n*O115-R115)*U115/(fs*n*O115)</f>
        <v>9.36394973018493E-006</v>
      </c>
      <c r="W115" s="4" t="n">
        <f aca="false">(n*O115-R115)*V115/(2*Cout)</f>
        <v>0.313601153676531</v>
      </c>
      <c r="X115" s="4"/>
      <c r="Y115" s="4"/>
      <c r="Z115" s="4"/>
      <c r="AA115" s="1"/>
    </row>
    <row r="116" customFormat="false" ht="15" hidden="false" customHeight="false" outlineLevel="0" collapsed="false">
      <c r="E116" s="3" t="n">
        <v>32</v>
      </c>
      <c r="F116" s="15" t="n">
        <v>15</v>
      </c>
      <c r="G116" s="15" t="n">
        <v>70</v>
      </c>
      <c r="H116" s="31" t="n">
        <v>40</v>
      </c>
      <c r="I116" s="15" t="n">
        <v>100</v>
      </c>
      <c r="J116" s="15" t="n">
        <f aca="false">I116^2/H116</f>
        <v>250</v>
      </c>
      <c r="K116" s="5" t="n">
        <f aca="false">H116/eff</f>
        <v>53.3333333333333</v>
      </c>
      <c r="L116" s="4" t="n">
        <f aca="false">F116^2*Dmax^2/(2*fs*H116)</f>
        <v>1.1390625E-005</v>
      </c>
      <c r="M116" s="1" t="n">
        <f aca="false">SQRT(2*fs*Lp*H116)/F116</f>
        <v>0.25086516962969</v>
      </c>
      <c r="N116" s="1" t="n">
        <f aca="false">F116*M116/(I116*(1-M116))</f>
        <v>0.0502309783485204</v>
      </c>
      <c r="O116" s="5" t="n">
        <f aca="false">SQRT(2*H116/(fs*Lp))</f>
        <v>21.2597601381094</v>
      </c>
      <c r="P116" s="1" t="n">
        <f aca="false">H116/(F116*eff)</f>
        <v>3.55555555555556</v>
      </c>
      <c r="Q116" s="1" t="n">
        <f aca="false">O116*SQRT(M116/3)</f>
        <v>6.14777432364076</v>
      </c>
      <c r="R116" s="1" t="n">
        <f aca="false">H116/I116</f>
        <v>0.4</v>
      </c>
      <c r="S116" s="1" t="n">
        <f aca="false">SQRT(2*R116*n*O116/3)</f>
        <v>0.53411741304866</v>
      </c>
      <c r="T116" s="4" t="n">
        <f aca="false">0.5*Lp*O116^2</f>
        <v>0.0008</v>
      </c>
      <c r="U116" s="1" t="n">
        <f aca="false">F116*M116/(n*I116)</f>
        <v>0.747799629299425</v>
      </c>
      <c r="V116" s="4" t="n">
        <f aca="false">(n*O116-R116)*U116/(fs*n*O116)</f>
        <v>9.36394973018492E-006</v>
      </c>
      <c r="W116" s="4" t="n">
        <f aca="false">(n*O116-R116)*V116/(2*Cout)</f>
        <v>0.313601153676531</v>
      </c>
      <c r="X116" s="4"/>
      <c r="Y116" s="4"/>
      <c r="Z116" s="15"/>
      <c r="AA116" s="1"/>
    </row>
    <row r="117" customFormat="false" ht="15" hidden="false" customHeight="false" outlineLevel="0" collapsed="false">
      <c r="E117" s="3" t="n">
        <v>26</v>
      </c>
      <c r="F117" s="15" t="n">
        <v>24</v>
      </c>
      <c r="G117" s="15" t="n">
        <v>55</v>
      </c>
      <c r="H117" s="31" t="n">
        <v>43</v>
      </c>
      <c r="I117" s="15" t="n">
        <v>100</v>
      </c>
      <c r="J117" s="15" t="n">
        <f aca="false">I117^2/H117</f>
        <v>232.558139534884</v>
      </c>
      <c r="K117" s="5" t="n">
        <f aca="false">H117/eff</f>
        <v>57.3333333333333</v>
      </c>
      <c r="L117" s="4" t="n">
        <f aca="false">F117^2*Dmax^2/(2*fs*H117)</f>
        <v>2.71255813953488E-005</v>
      </c>
      <c r="M117" s="1" t="n">
        <f aca="false">SQRT(2*fs*Lp*H117)/F117</f>
        <v>0.162564089925584</v>
      </c>
      <c r="N117" s="1" t="n">
        <f aca="false">F117*M117/(I117*(1-M117))</f>
        <v>0.0465890954911083</v>
      </c>
      <c r="O117" s="5" t="n">
        <f aca="false">SQRT(2*H117/(fs*Lp))</f>
        <v>22.042588464486</v>
      </c>
      <c r="P117" s="1" t="n">
        <f aca="false">H117/(F117*eff)</f>
        <v>2.38888888888889</v>
      </c>
      <c r="Q117" s="1" t="n">
        <f aca="false">O117*SQRT(M117/3)</f>
        <v>5.13114483644542</v>
      </c>
      <c r="R117" s="1" t="n">
        <f aca="false">H117/I117</f>
        <v>0.43</v>
      </c>
      <c r="S117" s="1" t="n">
        <f aca="false">SQRT(2*R117*n*O117/3)</f>
        <v>0.563888301895083</v>
      </c>
      <c r="T117" s="4" t="n">
        <f aca="false">0.5*Lp*O117^2</f>
        <v>0.00086</v>
      </c>
      <c r="U117" s="1" t="n">
        <f aca="false">F117*M117/(n*I117)</f>
        <v>0.775335157850387</v>
      </c>
      <c r="V117" s="4" t="n">
        <f aca="false">(n*O117-R117)*U117/(fs*n*O117)</f>
        <v>9.49525708701889E-006</v>
      </c>
      <c r="W117" s="4" t="n">
        <f aca="false">(n*O117-R117)*V117/(2*Cout)</f>
        <v>0.322457854753427</v>
      </c>
      <c r="X117" s="4"/>
      <c r="Y117" s="4"/>
      <c r="Z117" s="4"/>
      <c r="AA117" s="1"/>
    </row>
    <row r="118" customFormat="false" ht="15" hidden="false" customHeight="false" outlineLevel="0" collapsed="false">
      <c r="E118" s="3" t="n">
        <v>33</v>
      </c>
      <c r="F118" s="15" t="n">
        <v>18</v>
      </c>
      <c r="G118" s="15" t="n">
        <v>70</v>
      </c>
      <c r="H118" s="31" t="n">
        <v>43</v>
      </c>
      <c r="I118" s="15" t="n">
        <v>100</v>
      </c>
      <c r="J118" s="15" t="n">
        <f aca="false">I118^2/H118</f>
        <v>232.558139534884</v>
      </c>
      <c r="K118" s="5" t="n">
        <f aca="false">H118/eff</f>
        <v>57.3333333333333</v>
      </c>
      <c r="L118" s="4" t="n">
        <f aca="false">F118^2*Dmax^2/(2*fs*H118)</f>
        <v>1.52581395348837E-005</v>
      </c>
      <c r="M118" s="1" t="n">
        <f aca="false">SQRT(2*fs*Lp*H118)/F118</f>
        <v>0.216752119900779</v>
      </c>
      <c r="N118" s="1" t="n">
        <f aca="false">F118*M118/(I118*(1-M118))</f>
        <v>0.0498123040910084</v>
      </c>
      <c r="O118" s="5" t="n">
        <f aca="false">SQRT(2*H118/(fs*Lp))</f>
        <v>22.042588464486</v>
      </c>
      <c r="P118" s="1" t="n">
        <f aca="false">H118/(F118*eff)</f>
        <v>3.18518518518519</v>
      </c>
      <c r="Q118" s="1" t="n">
        <f aca="false">O118*SQRT(M118/3)</f>
        <v>5.92493570514544</v>
      </c>
      <c r="R118" s="1" t="n">
        <f aca="false">H118/I118</f>
        <v>0.43</v>
      </c>
      <c r="S118" s="1" t="n">
        <f aca="false">SQRT(2*R118*n*O118/3)</f>
        <v>0.563888301895083</v>
      </c>
      <c r="T118" s="4" t="n">
        <f aca="false">0.5*Lp*O118^2</f>
        <v>0.00086</v>
      </c>
      <c r="U118" s="1" t="n">
        <f aca="false">F118*M118/(n*I118)</f>
        <v>0.775335157850387</v>
      </c>
      <c r="V118" s="4" t="n">
        <f aca="false">(n*O118-R118)*U118/(fs*n*O118)</f>
        <v>9.49525708701889E-006</v>
      </c>
      <c r="W118" s="4" t="n">
        <f aca="false">(n*O118-R118)*V118/(2*Cout)</f>
        <v>0.322457854753427</v>
      </c>
      <c r="X118" s="4"/>
      <c r="Y118" s="4"/>
      <c r="Z118" s="15"/>
      <c r="AA118" s="1"/>
    </row>
    <row r="119" customFormat="false" ht="15" hidden="false" customHeight="false" outlineLevel="0" collapsed="false">
      <c r="E119" s="3" t="n">
        <v>27</v>
      </c>
      <c r="F119" s="15" t="n">
        <v>20</v>
      </c>
      <c r="G119" s="15" t="n">
        <v>55</v>
      </c>
      <c r="H119" s="31" t="n">
        <v>45</v>
      </c>
      <c r="I119" s="15" t="n">
        <v>100</v>
      </c>
      <c r="J119" s="15" t="n">
        <f aca="false">I119^2/H119</f>
        <v>222.222222222222</v>
      </c>
      <c r="K119" s="5" t="n">
        <f aca="false">H119/eff</f>
        <v>60</v>
      </c>
      <c r="L119" s="4" t="n">
        <f aca="false">F119^2*Dmax^2/(2*fs*H119)</f>
        <v>1.8E-005</v>
      </c>
      <c r="M119" s="1" t="n">
        <f aca="false">SQRT(2*fs*Lp*H119)/F119</f>
        <v>0.199562020434751</v>
      </c>
      <c r="N119" s="1" t="n">
        <f aca="false">F119*M119/(I119*(1-M119))</f>
        <v>0.0498632062769289</v>
      </c>
      <c r="O119" s="5" t="n">
        <f aca="false">SQRT(2*H119/(fs*Lp))</f>
        <v>22.5493808400849</v>
      </c>
      <c r="P119" s="1" t="n">
        <f aca="false">H119/(F119*eff)</f>
        <v>3</v>
      </c>
      <c r="Q119" s="1" t="n">
        <f aca="false">O119*SQRT(M119/3)</f>
        <v>5.81584656435564</v>
      </c>
      <c r="R119" s="1" t="n">
        <f aca="false">H119/I119</f>
        <v>0.45</v>
      </c>
      <c r="S119" s="1" t="n">
        <f aca="false">SQRT(2*R119*n*O119/3)</f>
        <v>0.583446620611633</v>
      </c>
      <c r="T119" s="4" t="n">
        <f aca="false">0.5*Lp*O119^2</f>
        <v>0.0009</v>
      </c>
      <c r="U119" s="1" t="n">
        <f aca="false">F119*M119/(n*I119)</f>
        <v>0.793161283269615</v>
      </c>
      <c r="V119" s="4" t="n">
        <f aca="false">(n*O119-R119)*U119/(fs*n*O119)</f>
        <v>9.57217745261328E-006</v>
      </c>
      <c r="W119" s="4" t="n">
        <f aca="false">(n*O119-R119)*V119/(2*Cout)</f>
        <v>0.327703429844875</v>
      </c>
      <c r="X119" s="4"/>
      <c r="Y119" s="4"/>
      <c r="Z119" s="4"/>
      <c r="AA119" s="1"/>
    </row>
    <row r="120" customFormat="false" ht="15" hidden="false" customHeight="false" outlineLevel="0" collapsed="false">
      <c r="E120" s="3" t="n">
        <v>34</v>
      </c>
      <c r="F120" s="15" t="n">
        <v>20</v>
      </c>
      <c r="G120" s="15" t="n">
        <v>70</v>
      </c>
      <c r="H120" s="31" t="n">
        <v>45</v>
      </c>
      <c r="I120" s="15" t="n">
        <v>100</v>
      </c>
      <c r="J120" s="15" t="n">
        <f aca="false">I120^2/H120</f>
        <v>222.222222222222</v>
      </c>
      <c r="K120" s="5" t="n">
        <f aca="false">H120/eff</f>
        <v>60</v>
      </c>
      <c r="L120" s="4" t="n">
        <f aca="false">F120^2*Dmax^2/(2*fs*H120)</f>
        <v>1.8E-005</v>
      </c>
      <c r="M120" s="1" t="n">
        <f aca="false">SQRT(2*fs*Lp*H120)/F120</f>
        <v>0.199562020434751</v>
      </c>
      <c r="N120" s="1" t="n">
        <f aca="false">F120*M120/(I120*(1-M120))</f>
        <v>0.0498632062769289</v>
      </c>
      <c r="O120" s="5" t="n">
        <f aca="false">SQRT(2*H120/(fs*Lp))</f>
        <v>22.5493808400849</v>
      </c>
      <c r="P120" s="1" t="n">
        <f aca="false">H120/(F120*eff)</f>
        <v>3</v>
      </c>
      <c r="Q120" s="1" t="n">
        <f aca="false">O120*SQRT(M120/3)</f>
        <v>5.81584656435564</v>
      </c>
      <c r="R120" s="1" t="n">
        <f aca="false">H120/I120</f>
        <v>0.45</v>
      </c>
      <c r="S120" s="1" t="n">
        <f aca="false">SQRT(2*R120*n*O120/3)</f>
        <v>0.583446620611633</v>
      </c>
      <c r="T120" s="4" t="n">
        <f aca="false">0.5*Lp*O120^2</f>
        <v>0.0009</v>
      </c>
      <c r="U120" s="1" t="n">
        <f aca="false">F120*M120/(n*I120)</f>
        <v>0.793161283269615</v>
      </c>
      <c r="V120" s="4" t="n">
        <f aca="false">(n*O120-R120)*U120/(fs*n*O120)</f>
        <v>9.57217745261328E-006</v>
      </c>
      <c r="W120" s="4" t="n">
        <f aca="false">(n*O120-R120)*V120/(2*Cout)</f>
        <v>0.327703429844875</v>
      </c>
      <c r="X120" s="4"/>
      <c r="Y120" s="4"/>
      <c r="Z120" s="15"/>
      <c r="AA120" s="1"/>
    </row>
    <row r="121" customFormat="false" ht="15" hidden="false" customHeight="false" outlineLevel="0" collapsed="false">
      <c r="E121" s="3" t="n">
        <v>57</v>
      </c>
      <c r="F121" s="15" t="n">
        <v>9</v>
      </c>
      <c r="G121" s="15" t="n">
        <v>55</v>
      </c>
      <c r="H121" s="31" t="n">
        <v>46</v>
      </c>
      <c r="I121" s="15" t="n">
        <v>170</v>
      </c>
      <c r="J121" s="15" t="n">
        <f aca="false">I121^2/H121</f>
        <v>628.260869565217</v>
      </c>
      <c r="K121" s="5" t="n">
        <f aca="false">H121/eff</f>
        <v>61.3333333333333</v>
      </c>
      <c r="L121" s="4" t="n">
        <f aca="false">F121^2*Dmax^2/(2*fs*H121)</f>
        <v>3.56576086956522E-006</v>
      </c>
      <c r="M121" s="1" t="n">
        <f aca="false">SQRT(2*fs*Lp*H121)/F121</f>
        <v>0.448371539057774</v>
      </c>
      <c r="N121" s="1" t="n">
        <f aca="false">F121*M121/(I121*(1-M121))</f>
        <v>0.0430313489139078</v>
      </c>
      <c r="O121" s="5" t="n">
        <f aca="false">SQRT(2*H121/(fs*Lp))</f>
        <v>22.7985528334461</v>
      </c>
      <c r="P121" s="1" t="n">
        <f aca="false">H121/(F121*eff)</f>
        <v>6.81481481481482</v>
      </c>
      <c r="Q121" s="1" t="n">
        <f aca="false">O121*SQRT(M121/3)</f>
        <v>8.81385033925886</v>
      </c>
      <c r="R121" s="1" t="n">
        <f aca="false">H121/I121</f>
        <v>0.270588235294118</v>
      </c>
      <c r="S121" s="1" t="n">
        <f aca="false">SQRT(2*R121*n*O121/3)</f>
        <v>0.454920655698646</v>
      </c>
      <c r="T121" s="4" t="n">
        <f aca="false">0.5*Lp*O121^2</f>
        <v>0.00092</v>
      </c>
      <c r="U121" s="1" t="n">
        <f aca="false">F121*M121/(n*I121)</f>
        <v>0.471721036711967</v>
      </c>
      <c r="V121" s="4" t="n">
        <f aca="false">(n*O121-R121)*U121/(fs*n*O121)</f>
        <v>7.20921336947321E-006</v>
      </c>
      <c r="W121" s="4" t="n">
        <f aca="false">(n*O121-R121)*V121/(2*Cout)</f>
        <v>0.315997891538007</v>
      </c>
      <c r="X121" s="4"/>
      <c r="Y121" s="4"/>
      <c r="Z121" s="4"/>
      <c r="AA121" s="1"/>
    </row>
    <row r="122" customFormat="false" ht="15" hidden="false" customHeight="false" outlineLevel="0" collapsed="false">
      <c r="E122" s="3" t="n">
        <v>92</v>
      </c>
      <c r="F122" s="15" t="n">
        <v>9</v>
      </c>
      <c r="G122" s="15" t="n">
        <v>55</v>
      </c>
      <c r="H122" s="31" t="n">
        <v>46</v>
      </c>
      <c r="I122" s="15" t="n">
        <v>250</v>
      </c>
      <c r="J122" s="15" t="n">
        <f aca="false">I122^2/H122</f>
        <v>1358.69565217391</v>
      </c>
      <c r="K122" s="5" t="n">
        <f aca="false">H122/eff</f>
        <v>61.3333333333333</v>
      </c>
      <c r="L122" s="4" t="n">
        <f aca="false">F122^2*Dmax^2/(2*fs*H122)</f>
        <v>3.56576086956522E-006</v>
      </c>
      <c r="M122" s="1" t="n">
        <f aca="false">SQRT(2*fs*Lp*H122)/F122</f>
        <v>0.448371539057774</v>
      </c>
      <c r="N122" s="1" t="n">
        <f aca="false">F122*M122/(I122*(1-M122))</f>
        <v>0.0292613172614573</v>
      </c>
      <c r="O122" s="5" t="n">
        <f aca="false">SQRT(2*H122/(fs*Lp))</f>
        <v>22.7985528334461</v>
      </c>
      <c r="P122" s="1" t="n">
        <f aca="false">H122/(F122*eff)</f>
        <v>6.81481481481482</v>
      </c>
      <c r="Q122" s="1" t="n">
        <f aca="false">O122*SQRT(M122/3)</f>
        <v>8.81385033925886</v>
      </c>
      <c r="R122" s="1" t="n">
        <f aca="false">H122/I122</f>
        <v>0.184</v>
      </c>
      <c r="S122" s="1" t="n">
        <f aca="false">SQRT(2*R122*n*O122/3)</f>
        <v>0.375137182944152</v>
      </c>
      <c r="T122" s="4" t="n">
        <f aca="false">0.5*Lp*O122^2</f>
        <v>0.00092</v>
      </c>
      <c r="U122" s="1" t="n">
        <f aca="false">F122*M122/(n*I122)</f>
        <v>0.320770304964138</v>
      </c>
      <c r="V122" s="4" t="n">
        <f aca="false">(n*O122-R122)*U122/(fs*n*O122)</f>
        <v>5.38647021381489E-006</v>
      </c>
      <c r="W122" s="4" t="n">
        <f aca="false">(n*O122-R122)*V122/(2*Cout)</f>
        <v>0.259422737919502</v>
      </c>
      <c r="X122" s="4"/>
      <c r="Y122" s="4"/>
      <c r="Z122" s="4"/>
      <c r="AA122" s="1"/>
    </row>
    <row r="123" customFormat="false" ht="15" hidden="false" customHeight="false" outlineLevel="0" collapsed="false">
      <c r="E123" s="3" t="n">
        <v>127</v>
      </c>
      <c r="F123" s="15" t="n">
        <v>9</v>
      </c>
      <c r="G123" s="15" t="n">
        <v>55</v>
      </c>
      <c r="H123" s="31" t="n">
        <v>46</v>
      </c>
      <c r="I123" s="15" t="n">
        <v>400</v>
      </c>
      <c r="J123" s="15" t="n">
        <f aca="false">I123^2/H123</f>
        <v>3478.26086956522</v>
      </c>
      <c r="K123" s="5" t="n">
        <f aca="false">H123/eff</f>
        <v>61.3333333333333</v>
      </c>
      <c r="L123" s="4" t="n">
        <f aca="false">F123^2*Dmax^2/(2*fs*H123)</f>
        <v>3.56576086956522E-006</v>
      </c>
      <c r="M123" s="1" t="n">
        <f aca="false">SQRT(2*fs*Lp*H123)/F123</f>
        <v>0.448371539057774</v>
      </c>
      <c r="N123" s="1" t="n">
        <f aca="false">F123*M123/(I123*(1-M123))</f>
        <v>0.0182883232884108</v>
      </c>
      <c r="O123" s="5" t="n">
        <f aca="false">SQRT(2*H123/(fs*Lp))</f>
        <v>22.7985528334461</v>
      </c>
      <c r="P123" s="1" t="n">
        <f aca="false">H123/(F123*eff)</f>
        <v>6.81481481481482</v>
      </c>
      <c r="Q123" s="1" t="n">
        <f aca="false">O123*SQRT(M123/3)</f>
        <v>8.81385033925886</v>
      </c>
      <c r="R123" s="1" t="n">
        <f aca="false">H123/I123</f>
        <v>0.115</v>
      </c>
      <c r="S123" s="1" t="n">
        <f aca="false">SQRT(2*R123*n*O123/3)</f>
        <v>0.296571983280698</v>
      </c>
      <c r="T123" s="4" t="n">
        <f aca="false">0.5*Lp*O123^2</f>
        <v>0.00092</v>
      </c>
      <c r="U123" s="1" t="n">
        <f aca="false">F123*M123/(n*I123)</f>
        <v>0.200481440602586</v>
      </c>
      <c r="V123" s="4" t="n">
        <f aca="false">(n*O123-R123)*U123/(fs*n*O123)</f>
        <v>3.60770073179084E-006</v>
      </c>
      <c r="W123" s="4" t="n">
        <f aca="false">(n*O123-R123)*V123/(2*Cout)</f>
        <v>0.186200355122905</v>
      </c>
      <c r="X123" s="4"/>
      <c r="Y123" s="4"/>
      <c r="Z123" s="4"/>
      <c r="AA123" s="1"/>
    </row>
    <row r="124" customFormat="false" ht="15" hidden="false" customHeight="false" outlineLevel="0" collapsed="false">
      <c r="E124" s="3" t="n">
        <v>162</v>
      </c>
      <c r="F124" s="15" t="n">
        <v>9</v>
      </c>
      <c r="G124" s="15" t="n">
        <v>55</v>
      </c>
      <c r="H124" s="31" t="n">
        <v>46</v>
      </c>
      <c r="I124" s="15" t="n">
        <v>550</v>
      </c>
      <c r="J124" s="15" t="n">
        <f aca="false">I124^2/H124</f>
        <v>6576.08695652174</v>
      </c>
      <c r="K124" s="5" t="n">
        <f aca="false">H124/eff</f>
        <v>61.3333333333333</v>
      </c>
      <c r="L124" s="4" t="n">
        <f aca="false">F124^2*Dmax^2/(2*fs*H124)</f>
        <v>3.56576086956522E-006</v>
      </c>
      <c r="M124" s="1" t="n">
        <f aca="false">SQRT(2*fs*Lp*H124)/F124</f>
        <v>0.448371539057774</v>
      </c>
      <c r="N124" s="1" t="n">
        <f aca="false">F124*M124/(I124*(1-M124))</f>
        <v>0.0133005987552079</v>
      </c>
      <c r="O124" s="5" t="n">
        <f aca="false">SQRT(2*H124/(fs*Lp))</f>
        <v>22.7985528334461</v>
      </c>
      <c r="P124" s="1" t="n">
        <f aca="false">H124/(F124*eff)</f>
        <v>6.81481481481482</v>
      </c>
      <c r="Q124" s="1" t="n">
        <f aca="false">O124*SQRT(M124/3)</f>
        <v>8.81385033925886</v>
      </c>
      <c r="R124" s="1" t="n">
        <f aca="false">H124/I124</f>
        <v>0.0836363636363636</v>
      </c>
      <c r="S124" s="1" t="n">
        <f aca="false">SQRT(2*R124*n*O124/3)</f>
        <v>0.252917437145796</v>
      </c>
      <c r="T124" s="4" t="n">
        <f aca="false">0.5*Lp*O124^2</f>
        <v>0.00092</v>
      </c>
      <c r="U124" s="1" t="n">
        <f aca="false">F124*M124/(n*I124)</f>
        <v>0.145804684074608</v>
      </c>
      <c r="V124" s="4" t="n">
        <f aca="false">(n*O124-R124)*U124/(fs*n*O124)</f>
        <v>2.7035036225112E-006</v>
      </c>
      <c r="W124" s="4" t="n">
        <f aca="false">(n*O124-R124)*V124/(2*Cout)</f>
        <v>0.14377259309235</v>
      </c>
      <c r="X124" s="4"/>
      <c r="Y124" s="4"/>
      <c r="Z124" s="4"/>
      <c r="AA124" s="1"/>
    </row>
    <row r="125" customFormat="false" ht="15" hidden="false" customHeight="false" outlineLevel="0" collapsed="false">
      <c r="E125" s="3" t="n">
        <v>169</v>
      </c>
      <c r="F125" s="15" t="n">
        <v>9</v>
      </c>
      <c r="G125" s="15" t="n">
        <v>70</v>
      </c>
      <c r="H125" s="31" t="n">
        <v>46</v>
      </c>
      <c r="I125" s="15" t="n">
        <v>550</v>
      </c>
      <c r="J125" s="15" t="n">
        <f aca="false">I125^2/H125</f>
        <v>6576.08695652174</v>
      </c>
      <c r="K125" s="5" t="n">
        <f aca="false">H125/eff</f>
        <v>61.3333333333333</v>
      </c>
      <c r="L125" s="4" t="n">
        <f aca="false">F125^2*Dmax^2/(2*fs*H125)</f>
        <v>3.56576086956522E-006</v>
      </c>
      <c r="M125" s="1" t="n">
        <f aca="false">SQRT(2*fs*Lp*H125)/F125</f>
        <v>0.448371539057774</v>
      </c>
      <c r="N125" s="1" t="n">
        <f aca="false">F125*M125/(I125*(1-M125))</f>
        <v>0.0133005987552079</v>
      </c>
      <c r="O125" s="5" t="n">
        <f aca="false">SQRT(2*H125/(fs*Lp))</f>
        <v>22.7985528334461</v>
      </c>
      <c r="P125" s="1" t="n">
        <f aca="false">H125/(F125*eff)</f>
        <v>6.81481481481482</v>
      </c>
      <c r="Q125" s="1" t="n">
        <f aca="false">O125*SQRT(M125/3)</f>
        <v>8.81385033925886</v>
      </c>
      <c r="R125" s="1" t="n">
        <f aca="false">H125/I125</f>
        <v>0.0836363636363636</v>
      </c>
      <c r="S125" s="1" t="n">
        <f aca="false">SQRT(2*R125*n*O125/3)</f>
        <v>0.252917437145796</v>
      </c>
      <c r="T125" s="4" t="n">
        <f aca="false">0.5*Lp*O125^2</f>
        <v>0.00092</v>
      </c>
      <c r="U125" s="1" t="n">
        <f aca="false">F125*M125/(n*I125)</f>
        <v>0.145804684074608</v>
      </c>
      <c r="V125" s="4" t="n">
        <f aca="false">(n*O125-R125)*U125/(fs*n*O125)</f>
        <v>2.7035036225112E-006</v>
      </c>
      <c r="W125" s="4" t="n">
        <f aca="false">(n*O125-R125)*V125/(2*Cout)</f>
        <v>0.14377259309235</v>
      </c>
      <c r="X125" s="4"/>
      <c r="Y125" s="4"/>
      <c r="Z125" s="15"/>
      <c r="AA125" s="1"/>
    </row>
    <row r="126" customFormat="false" ht="15" hidden="false" customHeight="false" outlineLevel="0" collapsed="false">
      <c r="E126" s="3" t="n">
        <v>64</v>
      </c>
      <c r="F126" s="15" t="n">
        <v>9</v>
      </c>
      <c r="G126" s="15" t="n">
        <v>70</v>
      </c>
      <c r="H126" s="31" t="n">
        <v>46</v>
      </c>
      <c r="I126" s="15" t="n">
        <v>170</v>
      </c>
      <c r="J126" s="15" t="n">
        <f aca="false">I126^2/H126</f>
        <v>628.260869565217</v>
      </c>
      <c r="K126" s="5" t="n">
        <f aca="false">H126/eff</f>
        <v>61.3333333333333</v>
      </c>
      <c r="L126" s="4" t="n">
        <f aca="false">F126^2*Dmax^2/(2*fs*H126)</f>
        <v>3.56576086956522E-006</v>
      </c>
      <c r="M126" s="1" t="n">
        <f aca="false">SQRT(2*fs*Lp*H126)/F126</f>
        <v>0.448371539057774</v>
      </c>
      <c r="N126" s="1" t="n">
        <f aca="false">F126*M126/(I126*(1-M126))</f>
        <v>0.0430313489139078</v>
      </c>
      <c r="O126" s="5" t="n">
        <f aca="false">SQRT(2*H126/(fs*Lp))</f>
        <v>22.7985528334461</v>
      </c>
      <c r="P126" s="1" t="n">
        <f aca="false">H126/(F126*eff)</f>
        <v>6.81481481481482</v>
      </c>
      <c r="Q126" s="1" t="n">
        <f aca="false">O126*SQRT(M126/3)</f>
        <v>8.81385033925886</v>
      </c>
      <c r="R126" s="1" t="n">
        <f aca="false">H126/I126</f>
        <v>0.270588235294118</v>
      </c>
      <c r="S126" s="1" t="n">
        <f aca="false">SQRT(2*R126*n*O126/3)</f>
        <v>0.454920655698646</v>
      </c>
      <c r="T126" s="4" t="n">
        <f aca="false">0.5*Lp*O126^2</f>
        <v>0.00092</v>
      </c>
      <c r="U126" s="1" t="n">
        <f aca="false">F126*M126/(n*I126)</f>
        <v>0.471721036711967</v>
      </c>
      <c r="V126" s="4" t="n">
        <f aca="false">(n*O126-R126)*U126/(fs*n*O126)</f>
        <v>7.20921336947321E-006</v>
      </c>
      <c r="W126" s="4" t="n">
        <f aca="false">(n*O126-R126)*V126/(2*Cout)</f>
        <v>0.315997891538007</v>
      </c>
      <c r="X126" s="4"/>
      <c r="Y126" s="4"/>
      <c r="Z126" s="15"/>
      <c r="AA126" s="1"/>
    </row>
    <row r="127" customFormat="false" ht="15" hidden="false" customHeight="false" outlineLevel="0" collapsed="false">
      <c r="E127" s="3" t="n">
        <v>99</v>
      </c>
      <c r="F127" s="15" t="n">
        <v>9</v>
      </c>
      <c r="G127" s="15" t="n">
        <v>70</v>
      </c>
      <c r="H127" s="31" t="n">
        <v>46</v>
      </c>
      <c r="I127" s="15" t="n">
        <v>250</v>
      </c>
      <c r="J127" s="15" t="n">
        <f aca="false">I127^2/H127</f>
        <v>1358.69565217391</v>
      </c>
      <c r="K127" s="5" t="n">
        <f aca="false">H127/eff</f>
        <v>61.3333333333333</v>
      </c>
      <c r="L127" s="4" t="n">
        <f aca="false">F127^2*Dmax^2/(2*fs*H127)</f>
        <v>3.56576086956522E-006</v>
      </c>
      <c r="M127" s="1" t="n">
        <f aca="false">SQRT(2*fs*Lp*H127)/F127</f>
        <v>0.448371539057774</v>
      </c>
      <c r="N127" s="1" t="n">
        <f aca="false">F127*M127/(I127*(1-M127))</f>
        <v>0.0292613172614573</v>
      </c>
      <c r="O127" s="5" t="n">
        <f aca="false">SQRT(2*H127/(fs*Lp))</f>
        <v>22.7985528334461</v>
      </c>
      <c r="P127" s="1" t="n">
        <f aca="false">H127/(F127*eff)</f>
        <v>6.81481481481482</v>
      </c>
      <c r="Q127" s="1" t="n">
        <f aca="false">O127*SQRT(M127/3)</f>
        <v>8.81385033925886</v>
      </c>
      <c r="R127" s="1" t="n">
        <f aca="false">H127/I127</f>
        <v>0.184</v>
      </c>
      <c r="S127" s="1" t="n">
        <f aca="false">SQRT(2*R127*n*O127/3)</f>
        <v>0.375137182944152</v>
      </c>
      <c r="T127" s="4" t="n">
        <f aca="false">0.5*Lp*O127^2</f>
        <v>0.00092</v>
      </c>
      <c r="U127" s="1" t="n">
        <f aca="false">F127*M127/(n*I127)</f>
        <v>0.320770304964138</v>
      </c>
      <c r="V127" s="4" t="n">
        <f aca="false">(n*O127-R127)*U127/(fs*n*O127)</f>
        <v>5.38647021381489E-006</v>
      </c>
      <c r="W127" s="4" t="n">
        <f aca="false">(n*O127-R127)*V127/(2*Cout)</f>
        <v>0.259422737919502</v>
      </c>
      <c r="X127" s="4"/>
      <c r="Y127" s="4"/>
      <c r="Z127" s="15"/>
      <c r="AA127" s="1"/>
    </row>
    <row r="128" customFormat="false" ht="15" hidden="false" customHeight="false" outlineLevel="0" collapsed="false">
      <c r="E128" s="3" t="n">
        <v>134</v>
      </c>
      <c r="F128" s="15" t="n">
        <v>9</v>
      </c>
      <c r="G128" s="15" t="n">
        <v>70</v>
      </c>
      <c r="H128" s="31" t="n">
        <v>46</v>
      </c>
      <c r="I128" s="15" t="n">
        <v>400</v>
      </c>
      <c r="J128" s="15" t="n">
        <f aca="false">I128^2/H128</f>
        <v>3478.26086956522</v>
      </c>
      <c r="K128" s="5" t="n">
        <f aca="false">H128/eff</f>
        <v>61.3333333333333</v>
      </c>
      <c r="L128" s="4" t="n">
        <f aca="false">F128^2*Dmax^2/(2*fs*H128)</f>
        <v>3.56576086956522E-006</v>
      </c>
      <c r="M128" s="1" t="n">
        <f aca="false">SQRT(2*fs*Lp*H128)/F128</f>
        <v>0.448371539057774</v>
      </c>
      <c r="N128" s="1" t="n">
        <f aca="false">F128*M128/(I128*(1-M128))</f>
        <v>0.0182883232884108</v>
      </c>
      <c r="O128" s="5" t="n">
        <f aca="false">SQRT(2*H128/(fs*Lp))</f>
        <v>22.7985528334461</v>
      </c>
      <c r="P128" s="1" t="n">
        <f aca="false">H128/(F128*eff)</f>
        <v>6.81481481481482</v>
      </c>
      <c r="Q128" s="1" t="n">
        <f aca="false">O128*SQRT(M128/3)</f>
        <v>8.81385033925886</v>
      </c>
      <c r="R128" s="1" t="n">
        <f aca="false">H128/I128</f>
        <v>0.115</v>
      </c>
      <c r="S128" s="1" t="n">
        <f aca="false">SQRT(2*R128*n*O128/3)</f>
        <v>0.296571983280698</v>
      </c>
      <c r="T128" s="4" t="n">
        <f aca="false">0.5*Lp*O128^2</f>
        <v>0.00092</v>
      </c>
      <c r="U128" s="1" t="n">
        <f aca="false">F128*M128/(n*I128)</f>
        <v>0.200481440602586</v>
      </c>
      <c r="V128" s="4" t="n">
        <f aca="false">(n*O128-R128)*U128/(fs*n*O128)</f>
        <v>3.60770073179084E-006</v>
      </c>
      <c r="W128" s="4" t="n">
        <f aca="false">(n*O128-R128)*V128/(2*Cout)</f>
        <v>0.186200355122905</v>
      </c>
      <c r="X128" s="4"/>
      <c r="Y128" s="4"/>
      <c r="Z128" s="15"/>
      <c r="AA128" s="1"/>
    </row>
    <row r="129" customFormat="false" ht="15" hidden="false" customHeight="false" outlineLevel="0" collapsed="false">
      <c r="E129" s="3" t="n">
        <v>28</v>
      </c>
      <c r="F129" s="15" t="n">
        <v>24</v>
      </c>
      <c r="G129" s="15" t="n">
        <v>55</v>
      </c>
      <c r="H129" s="31" t="n">
        <v>48</v>
      </c>
      <c r="I129" s="15" t="n">
        <v>100</v>
      </c>
      <c r="J129" s="15" t="n">
        <f aca="false">I129^2/H129</f>
        <v>208.333333333333</v>
      </c>
      <c r="K129" s="5" t="n">
        <f aca="false">H129/eff</f>
        <v>64</v>
      </c>
      <c r="L129" s="4" t="n">
        <f aca="false">F129^2*Dmax^2/(2*fs*H129)</f>
        <v>2.43E-005</v>
      </c>
      <c r="M129" s="1" t="n">
        <f aca="false">SQRT(2*fs*Lp*H129)/F129</f>
        <v>0.171755640373177</v>
      </c>
      <c r="N129" s="1" t="n">
        <f aca="false">F129*M129/(I129*(1-M129))</f>
        <v>0.0497695555791472</v>
      </c>
      <c r="O129" s="5" t="n">
        <f aca="false">SQRT(2*H129/(fs*Lp))</f>
        <v>23.2889003895833</v>
      </c>
      <c r="P129" s="1" t="n">
        <f aca="false">H129/(F129*eff)</f>
        <v>2.66666666666667</v>
      </c>
      <c r="Q129" s="1" t="n">
        <f aca="false">O129*SQRT(M129/3)</f>
        <v>5.57242022698495</v>
      </c>
      <c r="R129" s="1" t="n">
        <f aca="false">H129/I129</f>
        <v>0.48</v>
      </c>
      <c r="S129" s="1" t="n">
        <f aca="false">SQRT(2*R129*n*O129/3)</f>
        <v>0.612382358985821</v>
      </c>
      <c r="T129" s="4" t="n">
        <f aca="false">0.5*Lp*O129^2</f>
        <v>0.00096</v>
      </c>
      <c r="U129" s="1" t="n">
        <f aca="false">F129*M129/(n*I129)</f>
        <v>0.819173450922593</v>
      </c>
      <c r="V129" s="4" t="n">
        <f aca="false">(n*O129-R129)*U129/(fs*n*O129)</f>
        <v>9.67301759148756E-006</v>
      </c>
      <c r="W129" s="4" t="n">
        <f aca="false">(n*O129-R129)*V129/(2*Cout)</f>
        <v>0.334644321361454</v>
      </c>
      <c r="X129" s="4"/>
      <c r="Y129" s="4"/>
      <c r="Z129" s="4"/>
      <c r="AA129" s="1"/>
    </row>
    <row r="130" customFormat="false" ht="15" hidden="false" customHeight="false" outlineLevel="0" collapsed="false">
      <c r="E130" s="3" t="n">
        <v>35</v>
      </c>
      <c r="F130" s="15" t="n">
        <v>24</v>
      </c>
      <c r="G130" s="15" t="n">
        <v>70</v>
      </c>
      <c r="H130" s="31" t="n">
        <v>48</v>
      </c>
      <c r="I130" s="15" t="n">
        <v>100</v>
      </c>
      <c r="J130" s="15" t="n">
        <f aca="false">I130^2/H130</f>
        <v>208.333333333333</v>
      </c>
      <c r="K130" s="5" t="n">
        <f aca="false">H130/eff</f>
        <v>64</v>
      </c>
      <c r="L130" s="4" t="n">
        <f aca="false">F130^2*Dmax^2/(2*fs*H130)</f>
        <v>2.43E-005</v>
      </c>
      <c r="M130" s="1" t="n">
        <f aca="false">SQRT(2*fs*Lp*H130)/F130</f>
        <v>0.171755640373177</v>
      </c>
      <c r="N130" s="1" t="n">
        <f aca="false">F130*M130/(I130*(1-M130))</f>
        <v>0.0497695555791472</v>
      </c>
      <c r="O130" s="5" t="n">
        <f aca="false">SQRT(2*H130/(fs*Lp))</f>
        <v>23.2889003895833</v>
      </c>
      <c r="P130" s="1" t="n">
        <f aca="false">H130/(F130*eff)</f>
        <v>2.66666666666667</v>
      </c>
      <c r="Q130" s="1" t="n">
        <f aca="false">O130*SQRT(M130/3)</f>
        <v>5.57242022698495</v>
      </c>
      <c r="R130" s="1" t="n">
        <f aca="false">H130/I130</f>
        <v>0.48</v>
      </c>
      <c r="S130" s="1" t="n">
        <f aca="false">SQRT(2*R130*n*O130/3)</f>
        <v>0.612382358985821</v>
      </c>
      <c r="T130" s="4" t="n">
        <f aca="false">0.5*Lp*O130^2</f>
        <v>0.00096</v>
      </c>
      <c r="U130" s="1" t="n">
        <f aca="false">F130*M130/(n*I130)</f>
        <v>0.819173450922593</v>
      </c>
      <c r="V130" s="4" t="n">
        <f aca="false">(n*O130-R130)*U130/(fs*n*O130)</f>
        <v>9.67301759148756E-006</v>
      </c>
      <c r="W130" s="4" t="n">
        <f aca="false">(n*O130-R130)*V130/(2*Cout)</f>
        <v>0.334644321361454</v>
      </c>
      <c r="X130" s="4"/>
      <c r="Y130" s="4"/>
      <c r="Z130" s="15"/>
      <c r="AA130" s="1"/>
    </row>
    <row r="131" customFormat="false" ht="15" hidden="false" customHeight="false" outlineLevel="0" collapsed="false">
      <c r="E131" s="3" t="n">
        <v>58</v>
      </c>
      <c r="F131" s="15" t="n">
        <v>10</v>
      </c>
      <c r="G131" s="15" t="n">
        <v>55</v>
      </c>
      <c r="H131" s="15" t="n">
        <v>55</v>
      </c>
      <c r="I131" s="15" t="n">
        <v>170</v>
      </c>
      <c r="J131" s="15" t="n">
        <f aca="false">I131^2/H131</f>
        <v>525.454545454546</v>
      </c>
      <c r="K131" s="5" t="n">
        <f aca="false">H131/eff</f>
        <v>73.3333333333333</v>
      </c>
      <c r="L131" s="4" t="n">
        <f aca="false">F131^2*Dmax^2/(2*fs*H131)</f>
        <v>3.68181818181818E-006</v>
      </c>
      <c r="M131" s="1" t="n">
        <f aca="false">SQRT(2*fs*Lp*H131)/F131</f>
        <v>0.441248229458204</v>
      </c>
      <c r="N131" s="1" t="n">
        <f aca="false">F131*M131/(I131*(1-M131))</f>
        <v>0.0464531471251637</v>
      </c>
      <c r="O131" s="5" t="n">
        <f aca="false">SQRT(2*H131/(fs*Lp))</f>
        <v>24.9292785004635</v>
      </c>
      <c r="P131" s="1" t="n">
        <f aca="false">H131/(F131*eff)</f>
        <v>7.33333333333333</v>
      </c>
      <c r="Q131" s="1" t="n">
        <f aca="false">O131*SQRT(M131/3)</f>
        <v>9.56071935063986</v>
      </c>
      <c r="R131" s="1" t="n">
        <f aca="false">H131/I131</f>
        <v>0.323529411764706</v>
      </c>
      <c r="S131" s="1" t="n">
        <f aca="false">SQRT(2*R131*n*O131/3)</f>
        <v>0.520162811819082</v>
      </c>
      <c r="T131" s="4" t="n">
        <f aca="false">0.5*Lp*O131^2</f>
        <v>0.0011</v>
      </c>
      <c r="U131" s="1" t="n">
        <f aca="false">F131*M131/(n*I131)</f>
        <v>0.515807524478845</v>
      </c>
      <c r="V131" s="4" t="n">
        <f aca="false">(n*O131-R131)*U131/(fs*n*O131)</f>
        <v>7.65557646648695E-006</v>
      </c>
      <c r="W131" s="4" t="n">
        <f aca="false">(n*O131-R131)*V131/(2*Cout)</f>
        <v>0.35633971100485</v>
      </c>
      <c r="X131" s="4"/>
      <c r="Y131" s="4"/>
      <c r="Z131" s="4"/>
      <c r="AA131" s="1"/>
    </row>
    <row r="132" customFormat="false" ht="15" hidden="false" customHeight="false" outlineLevel="0" collapsed="false">
      <c r="E132" s="3" t="n">
        <v>59</v>
      </c>
      <c r="F132" s="15" t="n">
        <v>12</v>
      </c>
      <c r="G132" s="15" t="n">
        <v>55</v>
      </c>
      <c r="H132" s="15" t="n">
        <v>55</v>
      </c>
      <c r="I132" s="15" t="n">
        <v>170</v>
      </c>
      <c r="J132" s="15" t="n">
        <f aca="false">I132^2/H132</f>
        <v>525.454545454546</v>
      </c>
      <c r="K132" s="5" t="n">
        <f aca="false">H132/eff</f>
        <v>73.3333333333333</v>
      </c>
      <c r="L132" s="4" t="n">
        <f aca="false">F132^2*Dmax^2/(2*fs*H132)</f>
        <v>5.30181818181818E-006</v>
      </c>
      <c r="M132" s="1" t="n">
        <f aca="false">SQRT(2*fs*Lp*H132)/F132</f>
        <v>0.367706857881837</v>
      </c>
      <c r="N132" s="1" t="n">
        <f aca="false">F132*M132/(I132*(1-M132))</f>
        <v>0.0410502288803461</v>
      </c>
      <c r="O132" s="5" t="n">
        <f aca="false">SQRT(2*H132/(fs*Lp))</f>
        <v>24.9292785004635</v>
      </c>
      <c r="P132" s="1" t="n">
        <f aca="false">H132/(F132*eff)</f>
        <v>6.11111111111111</v>
      </c>
      <c r="Q132" s="1" t="n">
        <f aca="false">O132*SQRT(M132/3)</f>
        <v>8.72770275720266</v>
      </c>
      <c r="R132" s="1" t="n">
        <f aca="false">H132/I132</f>
        <v>0.323529411764706</v>
      </c>
      <c r="S132" s="1" t="n">
        <f aca="false">SQRT(2*R132*n*O132/3)</f>
        <v>0.520162811819082</v>
      </c>
      <c r="T132" s="4" t="n">
        <f aca="false">0.5*Lp*O132^2</f>
        <v>0.0011</v>
      </c>
      <c r="U132" s="1" t="n">
        <f aca="false">F132*M132/(n*I132)</f>
        <v>0.515807524478845</v>
      </c>
      <c r="V132" s="4" t="n">
        <f aca="false">(n*O132-R132)*U132/(fs*n*O132)</f>
        <v>7.65557646648695E-006</v>
      </c>
      <c r="W132" s="4" t="n">
        <f aca="false">(n*O132-R132)*V132/(2*Cout)</f>
        <v>0.35633971100485</v>
      </c>
      <c r="X132" s="4"/>
      <c r="Y132" s="4"/>
      <c r="Z132" s="4"/>
      <c r="AA132" s="1"/>
    </row>
    <row r="133" customFormat="false" ht="15" hidden="false" customHeight="false" outlineLevel="0" collapsed="false">
      <c r="E133" s="3" t="n">
        <v>60</v>
      </c>
      <c r="F133" s="15" t="n">
        <v>15</v>
      </c>
      <c r="G133" s="15" t="n">
        <v>55</v>
      </c>
      <c r="H133" s="15" t="n">
        <v>55</v>
      </c>
      <c r="I133" s="15" t="n">
        <v>170</v>
      </c>
      <c r="J133" s="15" t="n">
        <f aca="false">I133^2/H133</f>
        <v>525.454545454546</v>
      </c>
      <c r="K133" s="5" t="n">
        <f aca="false">H133/eff</f>
        <v>73.3333333333333</v>
      </c>
      <c r="L133" s="4" t="n">
        <f aca="false">F133^2*Dmax^2/(2*fs*H133)</f>
        <v>8.28409090909091E-006</v>
      </c>
      <c r="M133" s="1" t="n">
        <f aca="false">SQRT(2*fs*Lp*H133)/F133</f>
        <v>0.294165486305469</v>
      </c>
      <c r="N133" s="1" t="n">
        <f aca="false">F133*M133/(I133*(1-M133))</f>
        <v>0.0367731779897871</v>
      </c>
      <c r="O133" s="5" t="n">
        <f aca="false">SQRT(2*H133/(fs*Lp))</f>
        <v>24.9292785004635</v>
      </c>
      <c r="P133" s="1" t="n">
        <f aca="false">H133/(F133*eff)</f>
        <v>4.88888888888889</v>
      </c>
      <c r="Q133" s="1" t="n">
        <f aca="false">O133*SQRT(M133/3)</f>
        <v>7.806294661007</v>
      </c>
      <c r="R133" s="1" t="n">
        <f aca="false">H133/I133</f>
        <v>0.323529411764706</v>
      </c>
      <c r="S133" s="1" t="n">
        <f aca="false">SQRT(2*R133*n*O133/3)</f>
        <v>0.520162811819082</v>
      </c>
      <c r="T133" s="4" t="n">
        <f aca="false">0.5*Lp*O133^2</f>
        <v>0.0011</v>
      </c>
      <c r="U133" s="1" t="n">
        <f aca="false">F133*M133/(n*I133)</f>
        <v>0.515807524478845</v>
      </c>
      <c r="V133" s="4" t="n">
        <f aca="false">(n*O133-R133)*U133/(fs*n*O133)</f>
        <v>7.65557646648695E-006</v>
      </c>
      <c r="W133" s="4" t="n">
        <f aca="false">(n*O133-R133)*V133/(2*Cout)</f>
        <v>0.35633971100485</v>
      </c>
      <c r="X133" s="4"/>
      <c r="Y133" s="4"/>
      <c r="Z133" s="4"/>
      <c r="AA133" s="1"/>
    </row>
    <row r="134" customFormat="false" ht="15" hidden="false" customHeight="false" outlineLevel="0" collapsed="false">
      <c r="E134" s="3" t="n">
        <v>61</v>
      </c>
      <c r="F134" s="15" t="n">
        <v>18</v>
      </c>
      <c r="G134" s="15" t="n">
        <v>55</v>
      </c>
      <c r="H134" s="15" t="n">
        <v>55</v>
      </c>
      <c r="I134" s="15" t="n">
        <v>170</v>
      </c>
      <c r="J134" s="15" t="n">
        <f aca="false">I134^2/H134</f>
        <v>525.454545454546</v>
      </c>
      <c r="K134" s="5" t="n">
        <f aca="false">H134/eff</f>
        <v>73.3333333333333</v>
      </c>
      <c r="L134" s="4" t="n">
        <f aca="false">F134^2*Dmax^2/(2*fs*H134)</f>
        <v>1.19290909090909E-005</v>
      </c>
      <c r="M134" s="1" t="n">
        <f aca="false">SQRT(2*fs*Lp*H134)/F134</f>
        <v>0.245137905254558</v>
      </c>
      <c r="N134" s="1" t="n">
        <f aca="false">F134*M134/(I134*(1-M134))</f>
        <v>0.0343847947646341</v>
      </c>
      <c r="O134" s="5" t="n">
        <f aca="false">SQRT(2*H134/(fs*Lp))</f>
        <v>24.9292785004635</v>
      </c>
      <c r="P134" s="1" t="n">
        <f aca="false">H134/(F134*eff)</f>
        <v>4.07407407407407</v>
      </c>
      <c r="Q134" s="1" t="n">
        <f aca="false">O134*SQRT(M134/3)</f>
        <v>7.12613946060946</v>
      </c>
      <c r="R134" s="1" t="n">
        <f aca="false">H134/I134</f>
        <v>0.323529411764706</v>
      </c>
      <c r="S134" s="1" t="n">
        <f aca="false">SQRT(2*R134*n*O134/3)</f>
        <v>0.520162811819082</v>
      </c>
      <c r="T134" s="4" t="n">
        <f aca="false">0.5*Lp*O134^2</f>
        <v>0.0011</v>
      </c>
      <c r="U134" s="1" t="n">
        <f aca="false">F134*M134/(n*I134)</f>
        <v>0.515807524478845</v>
      </c>
      <c r="V134" s="4" t="n">
        <f aca="false">(n*O134-R134)*U134/(fs*n*O134)</f>
        <v>7.65557646648695E-006</v>
      </c>
      <c r="W134" s="4" t="n">
        <f aca="false">(n*O134-R134)*V134/(2*Cout)</f>
        <v>0.35633971100485</v>
      </c>
      <c r="X134" s="4"/>
      <c r="Y134" s="4"/>
      <c r="Z134" s="4"/>
      <c r="AA134" s="1"/>
    </row>
    <row r="135" customFormat="false" ht="15" hidden="false" customHeight="false" outlineLevel="0" collapsed="false">
      <c r="E135" s="3" t="n">
        <v>62</v>
      </c>
      <c r="F135" s="15" t="n">
        <v>20</v>
      </c>
      <c r="G135" s="15" t="n">
        <v>55</v>
      </c>
      <c r="H135" s="15" t="n">
        <v>55</v>
      </c>
      <c r="I135" s="15" t="n">
        <v>170</v>
      </c>
      <c r="J135" s="15" t="n">
        <f aca="false">I135^2/H135</f>
        <v>525.454545454546</v>
      </c>
      <c r="K135" s="5" t="n">
        <f aca="false">H135/eff</f>
        <v>73.3333333333333</v>
      </c>
      <c r="L135" s="4" t="n">
        <f aca="false">F135^2*Dmax^2/(2*fs*H135)</f>
        <v>1.47272727272727E-005</v>
      </c>
      <c r="M135" s="1" t="n">
        <f aca="false">SQRT(2*fs*Lp*H135)/F135</f>
        <v>0.220624114729102</v>
      </c>
      <c r="N135" s="1" t="n">
        <f aca="false">F135*M135/(I135*(1-M135))</f>
        <v>0.0333032862498716</v>
      </c>
      <c r="O135" s="5" t="n">
        <f aca="false">SQRT(2*H135/(fs*Lp))</f>
        <v>24.9292785004635</v>
      </c>
      <c r="P135" s="1" t="n">
        <f aca="false">H135/(F135*eff)</f>
        <v>3.66666666666667</v>
      </c>
      <c r="Q135" s="1" t="n">
        <f aca="false">O135*SQRT(M135/3)</f>
        <v>6.76044948585889</v>
      </c>
      <c r="R135" s="1" t="n">
        <f aca="false">H135/I135</f>
        <v>0.323529411764706</v>
      </c>
      <c r="S135" s="1" t="n">
        <f aca="false">SQRT(2*R135*n*O135/3)</f>
        <v>0.520162811819082</v>
      </c>
      <c r="T135" s="4" t="n">
        <f aca="false">0.5*Lp*O135^2</f>
        <v>0.0011</v>
      </c>
      <c r="U135" s="1" t="n">
        <f aca="false">F135*M135/(n*I135)</f>
        <v>0.515807524478845</v>
      </c>
      <c r="V135" s="4" t="n">
        <f aca="false">(n*O135-R135)*U135/(fs*n*O135)</f>
        <v>7.65557646648695E-006</v>
      </c>
      <c r="W135" s="4" t="n">
        <f aca="false">(n*O135-R135)*V135/(2*Cout)</f>
        <v>0.35633971100485</v>
      </c>
      <c r="X135" s="4"/>
      <c r="Y135" s="4"/>
      <c r="Z135" s="4"/>
      <c r="AA135" s="1"/>
    </row>
    <row r="136" customFormat="false" ht="15" hidden="false" customHeight="false" outlineLevel="0" collapsed="false">
      <c r="E136" s="3" t="n">
        <v>63</v>
      </c>
      <c r="F136" s="15" t="n">
        <v>24</v>
      </c>
      <c r="G136" s="15" t="n">
        <v>55</v>
      </c>
      <c r="H136" s="15" t="n">
        <v>55</v>
      </c>
      <c r="I136" s="15" t="n">
        <v>170</v>
      </c>
      <c r="J136" s="15" t="n">
        <f aca="false">I136^2/H136</f>
        <v>525.454545454546</v>
      </c>
      <c r="K136" s="5" t="n">
        <f aca="false">H136/eff</f>
        <v>73.3333333333333</v>
      </c>
      <c r="L136" s="4" t="n">
        <f aca="false">F136^2*Dmax^2/(2*fs*H136)</f>
        <v>2.12072727272727E-005</v>
      </c>
      <c r="M136" s="1" t="n">
        <f aca="false">SQRT(2*fs*Lp*H136)/F136</f>
        <v>0.183853428940918</v>
      </c>
      <c r="N136" s="1" t="n">
        <f aca="false">F136*M136/(I136*(1-M136))</f>
        <v>0.0318028392495014</v>
      </c>
      <c r="O136" s="5" t="n">
        <f aca="false">SQRT(2*H136/(fs*Lp))</f>
        <v>24.9292785004635</v>
      </c>
      <c r="P136" s="1" t="n">
        <f aca="false">H136/(F136*eff)</f>
        <v>3.05555555555556</v>
      </c>
      <c r="Q136" s="1" t="n">
        <f aca="false">O136*SQRT(M136/3)</f>
        <v>6.17141780379853</v>
      </c>
      <c r="R136" s="1" t="n">
        <f aca="false">H136/I136</f>
        <v>0.323529411764706</v>
      </c>
      <c r="S136" s="1" t="n">
        <f aca="false">SQRT(2*R136*n*O136/3)</f>
        <v>0.520162811819082</v>
      </c>
      <c r="T136" s="4" t="n">
        <f aca="false">0.5*Lp*O136^2</f>
        <v>0.0011</v>
      </c>
      <c r="U136" s="1" t="n">
        <f aca="false">F136*M136/(n*I136)</f>
        <v>0.515807524478845</v>
      </c>
      <c r="V136" s="4" t="n">
        <f aca="false">(n*O136-R136)*U136/(fs*n*O136)</f>
        <v>7.65557646648695E-006</v>
      </c>
      <c r="W136" s="4" t="n">
        <f aca="false">(n*O136-R136)*V136/(2*Cout)</f>
        <v>0.35633971100485</v>
      </c>
      <c r="X136" s="4"/>
      <c r="Y136" s="4"/>
      <c r="Z136" s="4"/>
      <c r="AA136" s="1"/>
    </row>
    <row r="137" customFormat="false" ht="15" hidden="false" customHeight="false" outlineLevel="0" collapsed="false">
      <c r="E137" s="3" t="n">
        <v>93</v>
      </c>
      <c r="F137" s="15" t="n">
        <v>10</v>
      </c>
      <c r="G137" s="15" t="n">
        <v>55</v>
      </c>
      <c r="H137" s="15" t="n">
        <v>55</v>
      </c>
      <c r="I137" s="15" t="n">
        <v>250</v>
      </c>
      <c r="J137" s="15" t="n">
        <f aca="false">I137^2/H137</f>
        <v>1136.36363636364</v>
      </c>
      <c r="K137" s="5" t="n">
        <f aca="false">H137/eff</f>
        <v>73.3333333333333</v>
      </c>
      <c r="L137" s="4" t="n">
        <f aca="false">F137^2*Dmax^2/(2*fs*H137)</f>
        <v>3.68181818181818E-006</v>
      </c>
      <c r="M137" s="1" t="n">
        <f aca="false">SQRT(2*fs*Lp*H137)/F137</f>
        <v>0.441248229458204</v>
      </c>
      <c r="N137" s="1" t="n">
        <f aca="false">F137*M137/(I137*(1-M137))</f>
        <v>0.0315881400451113</v>
      </c>
      <c r="O137" s="5" t="n">
        <f aca="false">SQRT(2*H137/(fs*Lp))</f>
        <v>24.9292785004635</v>
      </c>
      <c r="P137" s="1" t="n">
        <f aca="false">H137/(F137*eff)</f>
        <v>7.33333333333333</v>
      </c>
      <c r="Q137" s="1" t="n">
        <f aca="false">O137*SQRT(M137/3)</f>
        <v>9.56071935063986</v>
      </c>
      <c r="R137" s="1" t="n">
        <f aca="false">H137/I137</f>
        <v>0.22</v>
      </c>
      <c r="S137" s="1" t="n">
        <f aca="false">SQRT(2*R137*n*O137/3)</f>
        <v>0.428937243129671</v>
      </c>
      <c r="T137" s="4" t="n">
        <f aca="false">0.5*Lp*O137^2</f>
        <v>0.0011</v>
      </c>
      <c r="U137" s="1" t="n">
        <f aca="false">F137*M137/(n*I137)</f>
        <v>0.350749116645614</v>
      </c>
      <c r="V137" s="4" t="n">
        <f aca="false">(n*O137-R137)*U137/(fs*n*O137)</f>
        <v>5.7847329046355E-006</v>
      </c>
      <c r="W137" s="4" t="n">
        <f aca="false">(n*O137-R137)*V137/(2*Cout)</f>
        <v>0.299203132386974</v>
      </c>
      <c r="X137" s="4"/>
      <c r="Y137" s="4"/>
      <c r="Z137" s="4"/>
      <c r="AA137" s="1"/>
    </row>
    <row r="138" customFormat="false" ht="15" hidden="false" customHeight="false" outlineLevel="0" collapsed="false">
      <c r="E138" s="3" t="n">
        <v>94</v>
      </c>
      <c r="F138" s="15" t="n">
        <v>12</v>
      </c>
      <c r="G138" s="15" t="n">
        <v>55</v>
      </c>
      <c r="H138" s="15" t="n">
        <v>55</v>
      </c>
      <c r="I138" s="15" t="n">
        <v>250</v>
      </c>
      <c r="J138" s="15" t="n">
        <f aca="false">I138^2/H138</f>
        <v>1136.36363636364</v>
      </c>
      <c r="K138" s="5" t="n">
        <f aca="false">H138/eff</f>
        <v>73.3333333333333</v>
      </c>
      <c r="L138" s="4" t="n">
        <f aca="false">F138^2*Dmax^2/(2*fs*H138)</f>
        <v>5.30181818181818E-006</v>
      </c>
      <c r="M138" s="1" t="n">
        <f aca="false">SQRT(2*fs*Lp*H138)/F138</f>
        <v>0.367706857881837</v>
      </c>
      <c r="N138" s="1" t="n">
        <f aca="false">F138*M138/(I138*(1-M138))</f>
        <v>0.0279141556386353</v>
      </c>
      <c r="O138" s="5" t="n">
        <f aca="false">SQRT(2*H138/(fs*Lp))</f>
        <v>24.9292785004635</v>
      </c>
      <c r="P138" s="1" t="n">
        <f aca="false">H138/(F138*eff)</f>
        <v>6.11111111111111</v>
      </c>
      <c r="Q138" s="1" t="n">
        <f aca="false">O138*SQRT(M138/3)</f>
        <v>8.72770275720266</v>
      </c>
      <c r="R138" s="1" t="n">
        <f aca="false">H138/I138</f>
        <v>0.22</v>
      </c>
      <c r="S138" s="1" t="n">
        <f aca="false">SQRT(2*R138*n*O138/3)</f>
        <v>0.428937243129671</v>
      </c>
      <c r="T138" s="4" t="n">
        <f aca="false">0.5*Lp*O138^2</f>
        <v>0.0011</v>
      </c>
      <c r="U138" s="1" t="n">
        <f aca="false">F138*M138/(n*I138)</f>
        <v>0.350749116645614</v>
      </c>
      <c r="V138" s="4" t="n">
        <f aca="false">(n*O138-R138)*U138/(fs*n*O138)</f>
        <v>5.7847329046355E-006</v>
      </c>
      <c r="W138" s="4" t="n">
        <f aca="false">(n*O138-R138)*V138/(2*Cout)</f>
        <v>0.299203132386974</v>
      </c>
      <c r="X138" s="4"/>
      <c r="Y138" s="4"/>
      <c r="Z138" s="4"/>
      <c r="AA138" s="1"/>
    </row>
    <row r="139" customFormat="false" ht="15" hidden="false" customHeight="false" outlineLevel="0" collapsed="false">
      <c r="E139" s="3" t="n">
        <v>95</v>
      </c>
      <c r="F139" s="15" t="n">
        <v>15</v>
      </c>
      <c r="G139" s="15" t="n">
        <v>55</v>
      </c>
      <c r="H139" s="15" t="n">
        <v>55</v>
      </c>
      <c r="I139" s="15" t="n">
        <v>250</v>
      </c>
      <c r="J139" s="15" t="n">
        <f aca="false">I139^2/H139</f>
        <v>1136.36363636364</v>
      </c>
      <c r="K139" s="5" t="n">
        <f aca="false">H139/eff</f>
        <v>73.3333333333333</v>
      </c>
      <c r="L139" s="4" t="n">
        <f aca="false">F139^2*Dmax^2/(2*fs*H139)</f>
        <v>8.28409090909091E-006</v>
      </c>
      <c r="M139" s="1" t="n">
        <f aca="false">SQRT(2*fs*Lp*H139)/F139</f>
        <v>0.294165486305469</v>
      </c>
      <c r="N139" s="1" t="n">
        <f aca="false">F139*M139/(I139*(1-M139))</f>
        <v>0.0250057610330552</v>
      </c>
      <c r="O139" s="5" t="n">
        <f aca="false">SQRT(2*H139/(fs*Lp))</f>
        <v>24.9292785004635</v>
      </c>
      <c r="P139" s="1" t="n">
        <f aca="false">H139/(F139*eff)</f>
        <v>4.88888888888889</v>
      </c>
      <c r="Q139" s="1" t="n">
        <f aca="false">O139*SQRT(M139/3)</f>
        <v>7.806294661007</v>
      </c>
      <c r="R139" s="1" t="n">
        <f aca="false">H139/I139</f>
        <v>0.22</v>
      </c>
      <c r="S139" s="1" t="n">
        <f aca="false">SQRT(2*R139*n*O139/3)</f>
        <v>0.428937243129671</v>
      </c>
      <c r="T139" s="4" t="n">
        <f aca="false">0.5*Lp*O139^2</f>
        <v>0.0011</v>
      </c>
      <c r="U139" s="1" t="n">
        <f aca="false">F139*M139/(n*I139)</f>
        <v>0.350749116645614</v>
      </c>
      <c r="V139" s="4" t="n">
        <f aca="false">(n*O139-R139)*U139/(fs*n*O139)</f>
        <v>5.7847329046355E-006</v>
      </c>
      <c r="W139" s="4" t="n">
        <f aca="false">(n*O139-R139)*V139/(2*Cout)</f>
        <v>0.299203132386974</v>
      </c>
      <c r="X139" s="4"/>
      <c r="Y139" s="4"/>
      <c r="Z139" s="4"/>
      <c r="AA139" s="1"/>
    </row>
    <row r="140" customFormat="false" ht="15" hidden="false" customHeight="false" outlineLevel="0" collapsed="false">
      <c r="E140" s="3" t="n">
        <v>96</v>
      </c>
      <c r="F140" s="15" t="n">
        <v>18</v>
      </c>
      <c r="G140" s="15" t="n">
        <v>55</v>
      </c>
      <c r="H140" s="15" t="n">
        <v>55</v>
      </c>
      <c r="I140" s="15" t="n">
        <v>250</v>
      </c>
      <c r="J140" s="15" t="n">
        <f aca="false">I140^2/H140</f>
        <v>1136.36363636364</v>
      </c>
      <c r="K140" s="5" t="n">
        <f aca="false">H140/eff</f>
        <v>73.3333333333333</v>
      </c>
      <c r="L140" s="4" t="n">
        <f aca="false">F140^2*Dmax^2/(2*fs*H140)</f>
        <v>1.19290909090909E-005</v>
      </c>
      <c r="M140" s="1" t="n">
        <f aca="false">SQRT(2*fs*Lp*H140)/F140</f>
        <v>0.245137905254558</v>
      </c>
      <c r="N140" s="1" t="n">
        <f aca="false">F140*M140/(I140*(1-M140))</f>
        <v>0.0233816604399512</v>
      </c>
      <c r="O140" s="5" t="n">
        <f aca="false">SQRT(2*H140/(fs*Lp))</f>
        <v>24.9292785004635</v>
      </c>
      <c r="P140" s="1" t="n">
        <f aca="false">H140/(F140*eff)</f>
        <v>4.07407407407407</v>
      </c>
      <c r="Q140" s="1" t="n">
        <f aca="false">O140*SQRT(M140/3)</f>
        <v>7.12613946060946</v>
      </c>
      <c r="R140" s="1" t="n">
        <f aca="false">H140/I140</f>
        <v>0.22</v>
      </c>
      <c r="S140" s="1" t="n">
        <f aca="false">SQRT(2*R140*n*O140/3)</f>
        <v>0.428937243129671</v>
      </c>
      <c r="T140" s="4" t="n">
        <f aca="false">0.5*Lp*O140^2</f>
        <v>0.0011</v>
      </c>
      <c r="U140" s="1" t="n">
        <f aca="false">F140*M140/(n*I140)</f>
        <v>0.350749116645614</v>
      </c>
      <c r="V140" s="4" t="n">
        <f aca="false">(n*O140-R140)*U140/(fs*n*O140)</f>
        <v>5.7847329046355E-006</v>
      </c>
      <c r="W140" s="4" t="n">
        <f aca="false">(n*O140-R140)*V140/(2*Cout)</f>
        <v>0.299203132386974</v>
      </c>
      <c r="X140" s="4"/>
      <c r="Y140" s="4"/>
      <c r="Z140" s="4"/>
      <c r="AA140" s="1"/>
    </row>
    <row r="141" customFormat="false" ht="15" hidden="false" customHeight="false" outlineLevel="0" collapsed="false">
      <c r="E141" s="3" t="n">
        <v>97</v>
      </c>
      <c r="F141" s="15" t="n">
        <v>20</v>
      </c>
      <c r="G141" s="15" t="n">
        <v>55</v>
      </c>
      <c r="H141" s="15" t="n">
        <v>55</v>
      </c>
      <c r="I141" s="15" t="n">
        <v>250</v>
      </c>
      <c r="J141" s="15" t="n">
        <f aca="false">I141^2/H141</f>
        <v>1136.36363636364</v>
      </c>
      <c r="K141" s="5" t="n">
        <f aca="false">H141/eff</f>
        <v>73.3333333333333</v>
      </c>
      <c r="L141" s="4" t="n">
        <f aca="false">F141^2*Dmax^2/(2*fs*H141)</f>
        <v>1.47272727272727E-005</v>
      </c>
      <c r="M141" s="1" t="n">
        <f aca="false">SQRT(2*fs*Lp*H141)/F141</f>
        <v>0.220624114729102</v>
      </c>
      <c r="N141" s="1" t="n">
        <f aca="false">F141*M141/(I141*(1-M141))</f>
        <v>0.0226462346499127</v>
      </c>
      <c r="O141" s="5" t="n">
        <f aca="false">SQRT(2*H141/(fs*Lp))</f>
        <v>24.9292785004635</v>
      </c>
      <c r="P141" s="1" t="n">
        <f aca="false">H141/(F141*eff)</f>
        <v>3.66666666666667</v>
      </c>
      <c r="Q141" s="1" t="n">
        <f aca="false">O141*SQRT(M141/3)</f>
        <v>6.76044948585889</v>
      </c>
      <c r="R141" s="1" t="n">
        <f aca="false">H141/I141</f>
        <v>0.22</v>
      </c>
      <c r="S141" s="1" t="n">
        <f aca="false">SQRT(2*R141*n*O141/3)</f>
        <v>0.428937243129671</v>
      </c>
      <c r="T141" s="4" t="n">
        <f aca="false">0.5*Lp*O141^2</f>
        <v>0.0011</v>
      </c>
      <c r="U141" s="1" t="n">
        <f aca="false">F141*M141/(n*I141)</f>
        <v>0.350749116645614</v>
      </c>
      <c r="V141" s="4" t="n">
        <f aca="false">(n*O141-R141)*U141/(fs*n*O141)</f>
        <v>5.7847329046355E-006</v>
      </c>
      <c r="W141" s="4" t="n">
        <f aca="false">(n*O141-R141)*V141/(2*Cout)</f>
        <v>0.299203132386974</v>
      </c>
      <c r="X141" s="4"/>
      <c r="Y141" s="4"/>
      <c r="Z141" s="4"/>
      <c r="AA141" s="1"/>
    </row>
    <row r="142" customFormat="false" ht="15" hidden="false" customHeight="false" outlineLevel="0" collapsed="false">
      <c r="E142" s="3" t="n">
        <v>98</v>
      </c>
      <c r="F142" s="15" t="n">
        <v>24</v>
      </c>
      <c r="G142" s="15" t="n">
        <v>55</v>
      </c>
      <c r="H142" s="15" t="n">
        <v>55</v>
      </c>
      <c r="I142" s="15" t="n">
        <v>250</v>
      </c>
      <c r="J142" s="15" t="n">
        <f aca="false">I142^2/H142</f>
        <v>1136.36363636364</v>
      </c>
      <c r="K142" s="5" t="n">
        <f aca="false">H142/eff</f>
        <v>73.3333333333333</v>
      </c>
      <c r="L142" s="4" t="n">
        <f aca="false">F142^2*Dmax^2/(2*fs*H142)</f>
        <v>2.12072727272727E-005</v>
      </c>
      <c r="M142" s="1" t="n">
        <f aca="false">SQRT(2*fs*Lp*H142)/F142</f>
        <v>0.183853428940918</v>
      </c>
      <c r="N142" s="1" t="n">
        <f aca="false">F142*M142/(I142*(1-M142))</f>
        <v>0.021625930689661</v>
      </c>
      <c r="O142" s="5" t="n">
        <f aca="false">SQRT(2*H142/(fs*Lp))</f>
        <v>24.9292785004635</v>
      </c>
      <c r="P142" s="1" t="n">
        <f aca="false">H142/(F142*eff)</f>
        <v>3.05555555555556</v>
      </c>
      <c r="Q142" s="1" t="n">
        <f aca="false">O142*SQRT(M142/3)</f>
        <v>6.17141780379853</v>
      </c>
      <c r="R142" s="1" t="n">
        <f aca="false">H142/I142</f>
        <v>0.22</v>
      </c>
      <c r="S142" s="1" t="n">
        <f aca="false">SQRT(2*R142*n*O142/3)</f>
        <v>0.428937243129671</v>
      </c>
      <c r="T142" s="4" t="n">
        <f aca="false">0.5*Lp*O142^2</f>
        <v>0.0011</v>
      </c>
      <c r="U142" s="1" t="n">
        <f aca="false">F142*M142/(n*I142)</f>
        <v>0.350749116645614</v>
      </c>
      <c r="V142" s="4" t="n">
        <f aca="false">(n*O142-R142)*U142/(fs*n*O142)</f>
        <v>5.7847329046355E-006</v>
      </c>
      <c r="W142" s="4" t="n">
        <f aca="false">(n*O142-R142)*V142/(2*Cout)</f>
        <v>0.299203132386974</v>
      </c>
      <c r="X142" s="4"/>
      <c r="Y142" s="4"/>
      <c r="Z142" s="4"/>
      <c r="AA142" s="1"/>
    </row>
    <row r="143" customFormat="false" ht="15" hidden="false" customHeight="false" outlineLevel="0" collapsed="false">
      <c r="E143" s="3" t="n">
        <v>128</v>
      </c>
      <c r="F143" s="15" t="n">
        <v>10</v>
      </c>
      <c r="G143" s="15" t="n">
        <v>55</v>
      </c>
      <c r="H143" s="15" t="n">
        <v>55</v>
      </c>
      <c r="I143" s="15" t="n">
        <v>400</v>
      </c>
      <c r="J143" s="15" t="n">
        <f aca="false">I143^2/H143</f>
        <v>2909.09090909091</v>
      </c>
      <c r="K143" s="5" t="n">
        <f aca="false">H143/eff</f>
        <v>73.3333333333333</v>
      </c>
      <c r="L143" s="4" t="n">
        <f aca="false">F143^2*Dmax^2/(2*fs*H143)</f>
        <v>3.68181818181818E-006</v>
      </c>
      <c r="M143" s="1" t="n">
        <f aca="false">SQRT(2*fs*Lp*H143)/F143</f>
        <v>0.441248229458204</v>
      </c>
      <c r="N143" s="1" t="n">
        <f aca="false">F143*M143/(I143*(1-M143))</f>
        <v>0.0197425875281946</v>
      </c>
      <c r="O143" s="5" t="n">
        <f aca="false">SQRT(2*H143/(fs*Lp))</f>
        <v>24.9292785004635</v>
      </c>
      <c r="P143" s="1" t="n">
        <f aca="false">H143/(F143*eff)</f>
        <v>7.33333333333333</v>
      </c>
      <c r="Q143" s="1" t="n">
        <f aca="false">O143*SQRT(M143/3)</f>
        <v>9.56071935063986</v>
      </c>
      <c r="R143" s="1" t="n">
        <f aca="false">H143/I143</f>
        <v>0.1375</v>
      </c>
      <c r="S143" s="1" t="n">
        <f aca="false">SQRT(2*R143*n*O143/3)</f>
        <v>0.339104665390793</v>
      </c>
      <c r="T143" s="4" t="n">
        <f aca="false">0.5*Lp*O143^2</f>
        <v>0.0011</v>
      </c>
      <c r="U143" s="1" t="n">
        <f aca="false">F143*M143/(n*I143)</f>
        <v>0.219218197903509</v>
      </c>
      <c r="V143" s="4" t="n">
        <f aca="false">(n*O143-R143)*U143/(fs*n*O143)</f>
        <v>3.90379777514956E-006</v>
      </c>
      <c r="W143" s="4" t="n">
        <f aca="false">(n*O143-R143)*V143/(2*Cout)</f>
        <v>0.218018888084114</v>
      </c>
      <c r="X143" s="4"/>
      <c r="Y143" s="4"/>
      <c r="Z143" s="4"/>
      <c r="AA143" s="1"/>
    </row>
    <row r="144" customFormat="false" ht="15" hidden="false" customHeight="false" outlineLevel="0" collapsed="false">
      <c r="E144" s="3" t="n">
        <v>129</v>
      </c>
      <c r="F144" s="15" t="n">
        <v>12</v>
      </c>
      <c r="G144" s="15" t="n">
        <v>55</v>
      </c>
      <c r="H144" s="15" t="n">
        <v>55</v>
      </c>
      <c r="I144" s="15" t="n">
        <v>400</v>
      </c>
      <c r="J144" s="15" t="n">
        <f aca="false">I144^2/H144</f>
        <v>2909.09090909091</v>
      </c>
      <c r="K144" s="5" t="n">
        <f aca="false">H144/eff</f>
        <v>73.3333333333333</v>
      </c>
      <c r="L144" s="4" t="n">
        <f aca="false">F144^2*Dmax^2/(2*fs*H144)</f>
        <v>5.30181818181818E-006</v>
      </c>
      <c r="M144" s="1" t="n">
        <f aca="false">SQRT(2*fs*Lp*H144)/F144</f>
        <v>0.367706857881837</v>
      </c>
      <c r="N144" s="1" t="n">
        <f aca="false">F144*M144/(I144*(1-M144))</f>
        <v>0.0174463472741471</v>
      </c>
      <c r="O144" s="5" t="n">
        <f aca="false">SQRT(2*H144/(fs*Lp))</f>
        <v>24.9292785004635</v>
      </c>
      <c r="P144" s="1" t="n">
        <f aca="false">H144/(F144*eff)</f>
        <v>6.11111111111111</v>
      </c>
      <c r="Q144" s="1" t="n">
        <f aca="false">O144*SQRT(M144/3)</f>
        <v>8.72770275720266</v>
      </c>
      <c r="R144" s="1" t="n">
        <f aca="false">H144/I144</f>
        <v>0.1375</v>
      </c>
      <c r="S144" s="1" t="n">
        <f aca="false">SQRT(2*R144*n*O144/3)</f>
        <v>0.339104665390793</v>
      </c>
      <c r="T144" s="4" t="n">
        <f aca="false">0.5*Lp*O144^2</f>
        <v>0.0011</v>
      </c>
      <c r="U144" s="1" t="n">
        <f aca="false">F144*M144/(n*I144)</f>
        <v>0.219218197903509</v>
      </c>
      <c r="V144" s="4" t="n">
        <f aca="false">(n*O144-R144)*U144/(fs*n*O144)</f>
        <v>3.90379777514956E-006</v>
      </c>
      <c r="W144" s="4" t="n">
        <f aca="false">(n*O144-R144)*V144/(2*Cout)</f>
        <v>0.218018888084114</v>
      </c>
      <c r="X144" s="4"/>
      <c r="Y144" s="4"/>
      <c r="Z144" s="4"/>
      <c r="AA144" s="1"/>
    </row>
    <row r="145" customFormat="false" ht="15" hidden="false" customHeight="false" outlineLevel="0" collapsed="false">
      <c r="E145" s="3" t="n">
        <v>130</v>
      </c>
      <c r="F145" s="15" t="n">
        <v>15</v>
      </c>
      <c r="G145" s="15" t="n">
        <v>55</v>
      </c>
      <c r="H145" s="15" t="n">
        <v>55</v>
      </c>
      <c r="I145" s="15" t="n">
        <v>400</v>
      </c>
      <c r="J145" s="15" t="n">
        <f aca="false">I145^2/H145</f>
        <v>2909.09090909091</v>
      </c>
      <c r="K145" s="5" t="n">
        <f aca="false">H145/eff</f>
        <v>73.3333333333333</v>
      </c>
      <c r="L145" s="4" t="n">
        <f aca="false">F145^2*Dmax^2/(2*fs*H145)</f>
        <v>8.28409090909091E-006</v>
      </c>
      <c r="M145" s="1" t="n">
        <f aca="false">SQRT(2*fs*Lp*H145)/F145</f>
        <v>0.294165486305469</v>
      </c>
      <c r="N145" s="1" t="n">
        <f aca="false">F145*M145/(I145*(1-M145))</f>
        <v>0.0156286006456595</v>
      </c>
      <c r="O145" s="5" t="n">
        <f aca="false">SQRT(2*H145/(fs*Lp))</f>
        <v>24.9292785004635</v>
      </c>
      <c r="P145" s="1" t="n">
        <f aca="false">H145/(F145*eff)</f>
        <v>4.88888888888889</v>
      </c>
      <c r="Q145" s="1" t="n">
        <f aca="false">O145*SQRT(M145/3)</f>
        <v>7.806294661007</v>
      </c>
      <c r="R145" s="1" t="n">
        <f aca="false">H145/I145</f>
        <v>0.1375</v>
      </c>
      <c r="S145" s="1" t="n">
        <f aca="false">SQRT(2*R145*n*O145/3)</f>
        <v>0.339104665390793</v>
      </c>
      <c r="T145" s="4" t="n">
        <f aca="false">0.5*Lp*O145^2</f>
        <v>0.0011</v>
      </c>
      <c r="U145" s="1" t="n">
        <f aca="false">F145*M145/(n*I145)</f>
        <v>0.219218197903509</v>
      </c>
      <c r="V145" s="4" t="n">
        <f aca="false">(n*O145-R145)*U145/(fs*n*O145)</f>
        <v>3.90379777514956E-006</v>
      </c>
      <c r="W145" s="4" t="n">
        <f aca="false">(n*O145-R145)*V145/(2*Cout)</f>
        <v>0.218018888084114</v>
      </c>
      <c r="X145" s="4"/>
      <c r="Y145" s="4"/>
      <c r="Z145" s="4"/>
      <c r="AA145" s="1"/>
    </row>
    <row r="146" customFormat="false" ht="15" hidden="false" customHeight="false" outlineLevel="0" collapsed="false">
      <c r="E146" s="3" t="n">
        <v>131</v>
      </c>
      <c r="F146" s="15" t="n">
        <v>18</v>
      </c>
      <c r="G146" s="15" t="n">
        <v>55</v>
      </c>
      <c r="H146" s="15" t="n">
        <v>55</v>
      </c>
      <c r="I146" s="15" t="n">
        <v>400</v>
      </c>
      <c r="J146" s="15" t="n">
        <f aca="false">I146^2/H146</f>
        <v>2909.09090909091</v>
      </c>
      <c r="K146" s="5" t="n">
        <f aca="false">H146/eff</f>
        <v>73.3333333333333</v>
      </c>
      <c r="L146" s="4" t="n">
        <f aca="false">F146^2*Dmax^2/(2*fs*H146)</f>
        <v>1.19290909090909E-005</v>
      </c>
      <c r="M146" s="1" t="n">
        <f aca="false">SQRT(2*fs*Lp*H146)/F146</f>
        <v>0.245137905254558</v>
      </c>
      <c r="N146" s="1" t="n">
        <f aca="false">F146*M146/(I146*(1-M146))</f>
        <v>0.0146135377749695</v>
      </c>
      <c r="O146" s="5" t="n">
        <f aca="false">SQRT(2*H146/(fs*Lp))</f>
        <v>24.9292785004635</v>
      </c>
      <c r="P146" s="1" t="n">
        <f aca="false">H146/(F146*eff)</f>
        <v>4.07407407407407</v>
      </c>
      <c r="Q146" s="1" t="n">
        <f aca="false">O146*SQRT(M146/3)</f>
        <v>7.12613946060946</v>
      </c>
      <c r="R146" s="1" t="n">
        <f aca="false">H146/I146</f>
        <v>0.1375</v>
      </c>
      <c r="S146" s="1" t="n">
        <f aca="false">SQRT(2*R146*n*O146/3)</f>
        <v>0.339104665390793</v>
      </c>
      <c r="T146" s="4" t="n">
        <f aca="false">0.5*Lp*O146^2</f>
        <v>0.0011</v>
      </c>
      <c r="U146" s="1" t="n">
        <f aca="false">F146*M146/(n*I146)</f>
        <v>0.219218197903509</v>
      </c>
      <c r="V146" s="4" t="n">
        <f aca="false">(n*O146-R146)*U146/(fs*n*O146)</f>
        <v>3.90379777514956E-006</v>
      </c>
      <c r="W146" s="4" t="n">
        <f aca="false">(n*O146-R146)*V146/(2*Cout)</f>
        <v>0.218018888084114</v>
      </c>
      <c r="X146" s="4"/>
      <c r="Y146" s="4"/>
      <c r="Z146" s="4"/>
      <c r="AA146" s="1"/>
    </row>
    <row r="147" customFormat="false" ht="15" hidden="false" customHeight="false" outlineLevel="0" collapsed="false">
      <c r="E147" s="3" t="n">
        <v>132</v>
      </c>
      <c r="F147" s="15" t="n">
        <v>20</v>
      </c>
      <c r="G147" s="15" t="n">
        <v>55</v>
      </c>
      <c r="H147" s="15" t="n">
        <v>55</v>
      </c>
      <c r="I147" s="15" t="n">
        <v>400</v>
      </c>
      <c r="J147" s="15" t="n">
        <f aca="false">I147^2/H147</f>
        <v>2909.09090909091</v>
      </c>
      <c r="K147" s="5" t="n">
        <f aca="false">H147/eff</f>
        <v>73.3333333333333</v>
      </c>
      <c r="L147" s="4" t="n">
        <f aca="false">F147^2*Dmax^2/(2*fs*H147)</f>
        <v>1.47272727272727E-005</v>
      </c>
      <c r="M147" s="1" t="n">
        <f aca="false">SQRT(2*fs*Lp*H147)/F147</f>
        <v>0.220624114729102</v>
      </c>
      <c r="N147" s="1" t="n">
        <f aca="false">F147*M147/(I147*(1-M147))</f>
        <v>0.0141538966561954</v>
      </c>
      <c r="O147" s="5" t="n">
        <f aca="false">SQRT(2*H147/(fs*Lp))</f>
        <v>24.9292785004635</v>
      </c>
      <c r="P147" s="1" t="n">
        <f aca="false">H147/(F147*eff)</f>
        <v>3.66666666666667</v>
      </c>
      <c r="Q147" s="1" t="n">
        <f aca="false">O147*SQRT(M147/3)</f>
        <v>6.76044948585889</v>
      </c>
      <c r="R147" s="1" t="n">
        <f aca="false">H147/I147</f>
        <v>0.1375</v>
      </c>
      <c r="S147" s="1" t="n">
        <f aca="false">SQRT(2*R147*n*O147/3)</f>
        <v>0.339104665390793</v>
      </c>
      <c r="T147" s="4" t="n">
        <f aca="false">0.5*Lp*O147^2</f>
        <v>0.0011</v>
      </c>
      <c r="U147" s="1" t="n">
        <f aca="false">F147*M147/(n*I147)</f>
        <v>0.219218197903509</v>
      </c>
      <c r="V147" s="4" t="n">
        <f aca="false">(n*O147-R147)*U147/(fs*n*O147)</f>
        <v>3.90379777514956E-006</v>
      </c>
      <c r="W147" s="4" t="n">
        <f aca="false">(n*O147-R147)*V147/(2*Cout)</f>
        <v>0.218018888084114</v>
      </c>
      <c r="X147" s="4"/>
      <c r="Y147" s="4"/>
      <c r="Z147" s="4"/>
      <c r="AA147" s="1"/>
    </row>
    <row r="148" customFormat="false" ht="15" hidden="false" customHeight="false" outlineLevel="0" collapsed="false">
      <c r="E148" s="3" t="n">
        <v>133</v>
      </c>
      <c r="F148" s="15" t="n">
        <v>24</v>
      </c>
      <c r="G148" s="15" t="n">
        <v>55</v>
      </c>
      <c r="H148" s="15" t="n">
        <v>55</v>
      </c>
      <c r="I148" s="15" t="n">
        <v>400</v>
      </c>
      <c r="J148" s="15" t="n">
        <f aca="false">I148^2/H148</f>
        <v>2909.09090909091</v>
      </c>
      <c r="K148" s="5" t="n">
        <f aca="false">H148/eff</f>
        <v>73.3333333333333</v>
      </c>
      <c r="L148" s="4" t="n">
        <f aca="false">F148^2*Dmax^2/(2*fs*H148)</f>
        <v>2.12072727272727E-005</v>
      </c>
      <c r="M148" s="1" t="n">
        <f aca="false">SQRT(2*fs*Lp*H148)/F148</f>
        <v>0.183853428940918</v>
      </c>
      <c r="N148" s="1" t="n">
        <f aca="false">F148*M148/(I148*(1-M148))</f>
        <v>0.0135162066810381</v>
      </c>
      <c r="O148" s="5" t="n">
        <f aca="false">SQRT(2*H148/(fs*Lp))</f>
        <v>24.9292785004635</v>
      </c>
      <c r="P148" s="1" t="n">
        <f aca="false">H148/(F148*eff)</f>
        <v>3.05555555555556</v>
      </c>
      <c r="Q148" s="1" t="n">
        <f aca="false">O148*SQRT(M148/3)</f>
        <v>6.17141780379853</v>
      </c>
      <c r="R148" s="1" t="n">
        <f aca="false">H148/I148</f>
        <v>0.1375</v>
      </c>
      <c r="S148" s="1" t="n">
        <f aca="false">SQRT(2*R148*n*O148/3)</f>
        <v>0.339104665390793</v>
      </c>
      <c r="T148" s="4" t="n">
        <f aca="false">0.5*Lp*O148^2</f>
        <v>0.0011</v>
      </c>
      <c r="U148" s="1" t="n">
        <f aca="false">F148*M148/(n*I148)</f>
        <v>0.219218197903509</v>
      </c>
      <c r="V148" s="4" t="n">
        <f aca="false">(n*O148-R148)*U148/(fs*n*O148)</f>
        <v>3.90379777514956E-006</v>
      </c>
      <c r="W148" s="4" t="n">
        <f aca="false">(n*O148-R148)*V148/(2*Cout)</f>
        <v>0.218018888084114</v>
      </c>
      <c r="X148" s="4"/>
      <c r="Y148" s="4"/>
      <c r="Z148" s="4"/>
      <c r="AA148" s="1"/>
    </row>
    <row r="149" customFormat="false" ht="15" hidden="false" customHeight="false" outlineLevel="0" collapsed="false">
      <c r="E149" s="3" t="n">
        <v>163</v>
      </c>
      <c r="F149" s="15" t="n">
        <v>10</v>
      </c>
      <c r="G149" s="15" t="n">
        <v>55</v>
      </c>
      <c r="H149" s="15" t="n">
        <v>55</v>
      </c>
      <c r="I149" s="15" t="n">
        <v>550</v>
      </c>
      <c r="J149" s="15" t="n">
        <f aca="false">I149^2/H149</f>
        <v>5500</v>
      </c>
      <c r="K149" s="5" t="n">
        <f aca="false">H149/eff</f>
        <v>73.3333333333333</v>
      </c>
      <c r="L149" s="4" t="n">
        <f aca="false">F149^2*Dmax^2/(2*fs*H149)</f>
        <v>3.68181818181818E-006</v>
      </c>
      <c r="M149" s="1" t="n">
        <f aca="false">SQRT(2*fs*Lp*H149)/F149</f>
        <v>0.441248229458204</v>
      </c>
      <c r="N149" s="1" t="n">
        <f aca="false">F149*M149/(I149*(1-M149))</f>
        <v>0.0143582454750506</v>
      </c>
      <c r="O149" s="5" t="n">
        <f aca="false">SQRT(2*H149/(fs*Lp))</f>
        <v>24.9292785004635</v>
      </c>
      <c r="P149" s="1" t="n">
        <f aca="false">H149/(F149*eff)</f>
        <v>7.33333333333333</v>
      </c>
      <c r="Q149" s="1" t="n">
        <f aca="false">O149*SQRT(M149/3)</f>
        <v>9.56071935063986</v>
      </c>
      <c r="R149" s="1" t="n">
        <f aca="false">H149/I149</f>
        <v>0.1</v>
      </c>
      <c r="S149" s="1" t="n">
        <f aca="false">SQRT(2*R149*n*O149/3)</f>
        <v>0.289189430323387</v>
      </c>
      <c r="T149" s="4" t="n">
        <f aca="false">0.5*Lp*O149^2</f>
        <v>0.0011</v>
      </c>
      <c r="U149" s="1" t="n">
        <f aca="false">F149*M149/(n*I149)</f>
        <v>0.159431416657097</v>
      </c>
      <c r="V149" s="4" t="n">
        <f aca="false">(n*O149-R149)*U149/(fs*n*O149)</f>
        <v>2.93444456696906E-006</v>
      </c>
      <c r="W149" s="4" t="n">
        <f aca="false">(n*O149-R149)*V149/(2*Cout)</f>
        <v>0.169384635499445</v>
      </c>
      <c r="X149" s="4"/>
      <c r="Y149" s="4"/>
      <c r="Z149" s="4"/>
      <c r="AA149" s="1"/>
    </row>
    <row r="150" customFormat="false" ht="15" hidden="false" customHeight="false" outlineLevel="0" collapsed="false">
      <c r="E150" s="3" t="n">
        <v>164</v>
      </c>
      <c r="F150" s="15" t="n">
        <v>12</v>
      </c>
      <c r="G150" s="15" t="n">
        <v>55</v>
      </c>
      <c r="H150" s="15" t="n">
        <v>55</v>
      </c>
      <c r="I150" s="15" t="n">
        <v>550</v>
      </c>
      <c r="J150" s="15" t="n">
        <f aca="false">I150^2/H150</f>
        <v>5500</v>
      </c>
      <c r="K150" s="5" t="n">
        <f aca="false">H150/eff</f>
        <v>73.3333333333333</v>
      </c>
      <c r="L150" s="4" t="n">
        <f aca="false">F150^2*Dmax^2/(2*fs*H150)</f>
        <v>5.30181818181818E-006</v>
      </c>
      <c r="M150" s="1" t="n">
        <f aca="false">SQRT(2*fs*Lp*H150)/F150</f>
        <v>0.367706857881837</v>
      </c>
      <c r="N150" s="1" t="n">
        <f aca="false">F150*M150/(I150*(1-M150))</f>
        <v>0.0126882525630161</v>
      </c>
      <c r="O150" s="5" t="n">
        <f aca="false">SQRT(2*H150/(fs*Lp))</f>
        <v>24.9292785004635</v>
      </c>
      <c r="P150" s="1" t="n">
        <f aca="false">H150/(F150*eff)</f>
        <v>6.11111111111111</v>
      </c>
      <c r="Q150" s="1" t="n">
        <f aca="false">O150*SQRT(M150/3)</f>
        <v>8.72770275720266</v>
      </c>
      <c r="R150" s="1" t="n">
        <f aca="false">H150/I150</f>
        <v>0.1</v>
      </c>
      <c r="S150" s="1" t="n">
        <f aca="false">SQRT(2*R150*n*O150/3)</f>
        <v>0.289189430323387</v>
      </c>
      <c r="T150" s="4" t="n">
        <f aca="false">0.5*Lp*O150^2</f>
        <v>0.0011</v>
      </c>
      <c r="U150" s="1" t="n">
        <f aca="false">F150*M150/(n*I150)</f>
        <v>0.159431416657097</v>
      </c>
      <c r="V150" s="4" t="n">
        <f aca="false">(n*O150-R150)*U150/(fs*n*O150)</f>
        <v>2.93444456696906E-006</v>
      </c>
      <c r="W150" s="4" t="n">
        <f aca="false">(n*O150-R150)*V150/(2*Cout)</f>
        <v>0.169384635499445</v>
      </c>
      <c r="X150" s="4"/>
      <c r="Y150" s="4"/>
      <c r="Z150" s="4"/>
      <c r="AA150" s="1"/>
    </row>
    <row r="151" customFormat="false" ht="15" hidden="false" customHeight="false" outlineLevel="0" collapsed="false">
      <c r="E151" s="3" t="n">
        <v>165</v>
      </c>
      <c r="F151" s="15" t="n">
        <v>15</v>
      </c>
      <c r="G151" s="15" t="n">
        <v>55</v>
      </c>
      <c r="H151" s="15" t="n">
        <v>55</v>
      </c>
      <c r="I151" s="15" t="n">
        <v>550</v>
      </c>
      <c r="J151" s="15" t="n">
        <f aca="false">I151^2/H151</f>
        <v>5500</v>
      </c>
      <c r="K151" s="5" t="n">
        <f aca="false">H151/eff</f>
        <v>73.3333333333333</v>
      </c>
      <c r="L151" s="4" t="n">
        <f aca="false">F151^2*Dmax^2/(2*fs*H151)</f>
        <v>8.28409090909091E-006</v>
      </c>
      <c r="M151" s="1" t="n">
        <f aca="false">SQRT(2*fs*Lp*H151)/F151</f>
        <v>0.294165486305469</v>
      </c>
      <c r="N151" s="1" t="n">
        <f aca="false">F151*M151/(I151*(1-M151))</f>
        <v>0.0113662550150251</v>
      </c>
      <c r="O151" s="5" t="n">
        <f aca="false">SQRT(2*H151/(fs*Lp))</f>
        <v>24.9292785004635</v>
      </c>
      <c r="P151" s="1" t="n">
        <f aca="false">H151/(F151*eff)</f>
        <v>4.88888888888889</v>
      </c>
      <c r="Q151" s="1" t="n">
        <f aca="false">O151*SQRT(M151/3)</f>
        <v>7.806294661007</v>
      </c>
      <c r="R151" s="1" t="n">
        <f aca="false">H151/I151</f>
        <v>0.1</v>
      </c>
      <c r="S151" s="1" t="n">
        <f aca="false">SQRT(2*R151*n*O151/3)</f>
        <v>0.289189430323387</v>
      </c>
      <c r="T151" s="4" t="n">
        <f aca="false">0.5*Lp*O151^2</f>
        <v>0.0011</v>
      </c>
      <c r="U151" s="1" t="n">
        <f aca="false">F151*M151/(n*I151)</f>
        <v>0.159431416657097</v>
      </c>
      <c r="V151" s="4" t="n">
        <f aca="false">(n*O151-R151)*U151/(fs*n*O151)</f>
        <v>2.93444456696906E-006</v>
      </c>
      <c r="W151" s="4" t="n">
        <f aca="false">(n*O151-R151)*V151/(2*Cout)</f>
        <v>0.169384635499445</v>
      </c>
      <c r="X151" s="4"/>
      <c r="Y151" s="4"/>
      <c r="Z151" s="4"/>
      <c r="AA151" s="1"/>
    </row>
    <row r="152" customFormat="false" ht="15" hidden="false" customHeight="false" outlineLevel="0" collapsed="false">
      <c r="E152" s="3" t="n">
        <v>166</v>
      </c>
      <c r="F152" s="15" t="n">
        <v>18</v>
      </c>
      <c r="G152" s="15" t="n">
        <v>55</v>
      </c>
      <c r="H152" s="15" t="n">
        <v>55</v>
      </c>
      <c r="I152" s="15" t="n">
        <v>550</v>
      </c>
      <c r="J152" s="15" t="n">
        <f aca="false">I152^2/H152</f>
        <v>5500</v>
      </c>
      <c r="K152" s="5" t="n">
        <f aca="false">H152/eff</f>
        <v>73.3333333333333</v>
      </c>
      <c r="L152" s="4" t="n">
        <f aca="false">F152^2*Dmax^2/(2*fs*H152)</f>
        <v>1.19290909090909E-005</v>
      </c>
      <c r="M152" s="1" t="n">
        <f aca="false">SQRT(2*fs*Lp*H152)/F152</f>
        <v>0.245137905254558</v>
      </c>
      <c r="N152" s="1" t="n">
        <f aca="false">F152*M152/(I152*(1-M152))</f>
        <v>0.0106280274727051</v>
      </c>
      <c r="O152" s="5" t="n">
        <f aca="false">SQRT(2*H152/(fs*Lp))</f>
        <v>24.9292785004635</v>
      </c>
      <c r="P152" s="1" t="n">
        <f aca="false">H152/(F152*eff)</f>
        <v>4.07407407407407</v>
      </c>
      <c r="Q152" s="1" t="n">
        <f aca="false">O152*SQRT(M152/3)</f>
        <v>7.12613946060946</v>
      </c>
      <c r="R152" s="1" t="n">
        <f aca="false">H152/I152</f>
        <v>0.1</v>
      </c>
      <c r="S152" s="1" t="n">
        <f aca="false">SQRT(2*R152*n*O152/3)</f>
        <v>0.289189430323387</v>
      </c>
      <c r="T152" s="4" t="n">
        <f aca="false">0.5*Lp*O152^2</f>
        <v>0.0011</v>
      </c>
      <c r="U152" s="1" t="n">
        <f aca="false">F152*M152/(n*I152)</f>
        <v>0.159431416657097</v>
      </c>
      <c r="V152" s="4" t="n">
        <f aca="false">(n*O152-R152)*U152/(fs*n*O152)</f>
        <v>2.93444456696906E-006</v>
      </c>
      <c r="W152" s="4" t="n">
        <f aca="false">(n*O152-R152)*V152/(2*Cout)</f>
        <v>0.169384635499445</v>
      </c>
      <c r="X152" s="4"/>
      <c r="Y152" s="4"/>
      <c r="Z152" s="4"/>
      <c r="AA152" s="1"/>
    </row>
    <row r="153" customFormat="false" ht="15" hidden="false" customHeight="false" outlineLevel="0" collapsed="false">
      <c r="E153" s="3" t="n">
        <v>167</v>
      </c>
      <c r="F153" s="15" t="n">
        <v>20</v>
      </c>
      <c r="G153" s="15" t="n">
        <v>55</v>
      </c>
      <c r="H153" s="15" t="n">
        <v>55</v>
      </c>
      <c r="I153" s="15" t="n">
        <v>550</v>
      </c>
      <c r="J153" s="15" t="n">
        <f aca="false">I153^2/H153</f>
        <v>5500</v>
      </c>
      <c r="K153" s="5" t="n">
        <f aca="false">H153/eff</f>
        <v>73.3333333333333</v>
      </c>
      <c r="L153" s="4" t="n">
        <f aca="false">F153^2*Dmax^2/(2*fs*H153)</f>
        <v>1.47272727272727E-005</v>
      </c>
      <c r="M153" s="1" t="n">
        <f aca="false">SQRT(2*fs*Lp*H153)/F153</f>
        <v>0.220624114729102</v>
      </c>
      <c r="N153" s="1" t="n">
        <f aca="false">F153*M153/(I153*(1-M153))</f>
        <v>0.0102937430226876</v>
      </c>
      <c r="O153" s="5" t="n">
        <f aca="false">SQRT(2*H153/(fs*Lp))</f>
        <v>24.9292785004635</v>
      </c>
      <c r="P153" s="1" t="n">
        <f aca="false">H153/(F153*eff)</f>
        <v>3.66666666666667</v>
      </c>
      <c r="Q153" s="1" t="n">
        <f aca="false">O153*SQRT(M153/3)</f>
        <v>6.76044948585889</v>
      </c>
      <c r="R153" s="1" t="n">
        <f aca="false">H153/I153</f>
        <v>0.1</v>
      </c>
      <c r="S153" s="1" t="n">
        <f aca="false">SQRT(2*R153*n*O153/3)</f>
        <v>0.289189430323387</v>
      </c>
      <c r="T153" s="4" t="n">
        <f aca="false">0.5*Lp*O153^2</f>
        <v>0.0011</v>
      </c>
      <c r="U153" s="1" t="n">
        <f aca="false">F153*M153/(n*I153)</f>
        <v>0.159431416657097</v>
      </c>
      <c r="V153" s="4" t="n">
        <f aca="false">(n*O153-R153)*U153/(fs*n*O153)</f>
        <v>2.93444456696906E-006</v>
      </c>
      <c r="W153" s="4" t="n">
        <f aca="false">(n*O153-R153)*V153/(2*Cout)</f>
        <v>0.169384635499445</v>
      </c>
      <c r="X153" s="4"/>
      <c r="Y153" s="4"/>
      <c r="Z153" s="4"/>
      <c r="AA153" s="1"/>
    </row>
    <row r="154" customFormat="false" ht="15" hidden="false" customHeight="false" outlineLevel="0" collapsed="false">
      <c r="E154" s="3" t="n">
        <v>168</v>
      </c>
      <c r="F154" s="15" t="n">
        <v>24</v>
      </c>
      <c r="G154" s="15" t="n">
        <v>55</v>
      </c>
      <c r="H154" s="15" t="n">
        <v>55</v>
      </c>
      <c r="I154" s="15" t="n">
        <v>550</v>
      </c>
      <c r="J154" s="15" t="n">
        <f aca="false">I154^2/H154</f>
        <v>5500</v>
      </c>
      <c r="K154" s="5" t="n">
        <f aca="false">H154/eff</f>
        <v>73.3333333333333</v>
      </c>
      <c r="L154" s="4" t="n">
        <f aca="false">F154^2*Dmax^2/(2*fs*H154)</f>
        <v>2.12072727272727E-005</v>
      </c>
      <c r="M154" s="1" t="n">
        <f aca="false">SQRT(2*fs*Lp*H154)/F154</f>
        <v>0.183853428940918</v>
      </c>
      <c r="N154" s="1" t="n">
        <f aca="false">F154*M154/(I154*(1-M154))</f>
        <v>0.00982996849530044</v>
      </c>
      <c r="O154" s="5" t="n">
        <f aca="false">SQRT(2*H154/(fs*Lp))</f>
        <v>24.9292785004635</v>
      </c>
      <c r="P154" s="1" t="n">
        <f aca="false">H154/(F154*eff)</f>
        <v>3.05555555555556</v>
      </c>
      <c r="Q154" s="1" t="n">
        <f aca="false">O154*SQRT(M154/3)</f>
        <v>6.17141780379853</v>
      </c>
      <c r="R154" s="1" t="n">
        <f aca="false">H154/I154</f>
        <v>0.1</v>
      </c>
      <c r="S154" s="1" t="n">
        <f aca="false">SQRT(2*R154*n*O154/3)</f>
        <v>0.289189430323387</v>
      </c>
      <c r="T154" s="4" t="n">
        <f aca="false">0.5*Lp*O154^2</f>
        <v>0.0011</v>
      </c>
      <c r="U154" s="1" t="n">
        <f aca="false">F154*M154/(n*I154)</f>
        <v>0.159431416657097</v>
      </c>
      <c r="V154" s="4" t="n">
        <f aca="false">(n*O154-R154)*U154/(fs*n*O154)</f>
        <v>2.93444456696906E-006</v>
      </c>
      <c r="W154" s="4" t="n">
        <f aca="false">(n*O154-R154)*V154/(2*Cout)</f>
        <v>0.169384635499445</v>
      </c>
      <c r="X154" s="4"/>
      <c r="Y154" s="4"/>
      <c r="Z154" s="4"/>
      <c r="AA154" s="1"/>
    </row>
    <row r="155" customFormat="false" ht="15" hidden="false" customHeight="false" outlineLevel="0" collapsed="false">
      <c r="E155" s="3" t="n">
        <v>65</v>
      </c>
      <c r="F155" s="15" t="n">
        <v>10</v>
      </c>
      <c r="G155" s="15" t="n">
        <v>70</v>
      </c>
      <c r="H155" s="31" t="n">
        <v>57</v>
      </c>
      <c r="I155" s="15" t="n">
        <v>170</v>
      </c>
      <c r="J155" s="15" t="n">
        <f aca="false">I155^2/H155</f>
        <v>507.017543859649</v>
      </c>
      <c r="K155" s="5" t="n">
        <f aca="false">H155/eff</f>
        <v>76</v>
      </c>
      <c r="L155" s="4" t="n">
        <f aca="false">F155^2*Dmax^2/(2*fs*H155)</f>
        <v>3.55263157894737E-006</v>
      </c>
      <c r="M155" s="1" t="n">
        <f aca="false">SQRT(2*fs*Lp*H155)/F155</f>
        <v>0.449199287621875</v>
      </c>
      <c r="N155" s="1" t="n">
        <f aca="false">F155*M155/(I155*(1-M155))</f>
        <v>0.0479728637116021</v>
      </c>
      <c r="O155" s="5" t="n">
        <f aca="false">SQRT(2*H155/(fs*Lp))</f>
        <v>25.3784908260946</v>
      </c>
      <c r="P155" s="1" t="n">
        <f aca="false">H155/(F155*eff)</f>
        <v>7.6</v>
      </c>
      <c r="Q155" s="1" t="n">
        <f aca="false">O155*SQRT(M155/3)</f>
        <v>9.82029862779944</v>
      </c>
      <c r="R155" s="1" t="n">
        <f aca="false">H155/I155</f>
        <v>0.335294117647059</v>
      </c>
      <c r="S155" s="1" t="n">
        <f aca="false">SQRT(2*R155*n*O155/3)</f>
        <v>0.534285544821202</v>
      </c>
      <c r="T155" s="4" t="n">
        <f aca="false">0.5*Lp*O155^2</f>
        <v>0.00114</v>
      </c>
      <c r="U155" s="1" t="n">
        <f aca="false">F155*M155/(n*I155)</f>
        <v>0.525102101441626</v>
      </c>
      <c r="V155" s="4" t="n">
        <f aca="false">(n*O155-R155)*U155/(fs*n*O155)</f>
        <v>7.74471985944841E-006</v>
      </c>
      <c r="W155" s="4" t="n">
        <f aca="false">(n*O155-R155)*V155/(2*Cout)</f>
        <v>0.364686638931761</v>
      </c>
      <c r="X155" s="4"/>
      <c r="Y155" s="4"/>
      <c r="Z155" s="15"/>
      <c r="AA155" s="1"/>
    </row>
    <row r="156" customFormat="false" ht="15" hidden="false" customHeight="false" outlineLevel="0" collapsed="false">
      <c r="E156" s="3" t="n">
        <v>100</v>
      </c>
      <c r="F156" s="15" t="n">
        <v>10</v>
      </c>
      <c r="G156" s="15" t="n">
        <v>70</v>
      </c>
      <c r="H156" s="31" t="n">
        <v>57</v>
      </c>
      <c r="I156" s="15" t="n">
        <v>250</v>
      </c>
      <c r="J156" s="15" t="n">
        <f aca="false">I156^2/H156</f>
        <v>1096.49122807018</v>
      </c>
      <c r="K156" s="5" t="n">
        <f aca="false">H156/eff</f>
        <v>76</v>
      </c>
      <c r="L156" s="4" t="n">
        <f aca="false">F156^2*Dmax^2/(2*fs*H156)</f>
        <v>3.55263157894737E-006</v>
      </c>
      <c r="M156" s="1" t="n">
        <f aca="false">SQRT(2*fs*Lp*H156)/F156</f>
        <v>0.449199287621875</v>
      </c>
      <c r="N156" s="1" t="n">
        <f aca="false">F156*M156/(I156*(1-M156))</f>
        <v>0.0326215473238894</v>
      </c>
      <c r="O156" s="5" t="n">
        <f aca="false">SQRT(2*H156/(fs*Lp))</f>
        <v>25.3784908260946</v>
      </c>
      <c r="P156" s="1" t="n">
        <f aca="false">H156/(F156*eff)</f>
        <v>7.6</v>
      </c>
      <c r="Q156" s="1" t="n">
        <f aca="false">O156*SQRT(M156/3)</f>
        <v>9.82029862779944</v>
      </c>
      <c r="R156" s="1" t="n">
        <f aca="false">H156/I156</f>
        <v>0.228</v>
      </c>
      <c r="S156" s="1" t="n">
        <f aca="false">SQRT(2*R156*n*O156/3)</f>
        <v>0.440583147107699</v>
      </c>
      <c r="T156" s="4" t="n">
        <f aca="false">0.5*Lp*O156^2</f>
        <v>0.00114</v>
      </c>
      <c r="U156" s="1" t="n">
        <f aca="false">F156*M156/(n*I156)</f>
        <v>0.357069428980306</v>
      </c>
      <c r="V156" s="4" t="n">
        <f aca="false">(n*O156-R156)*U156/(fs*n*O156)</f>
        <v>5.8664028084829E-006</v>
      </c>
      <c r="W156" s="4" t="n">
        <f aca="false">(n*O156-R156)*V156/(2*Cout)</f>
        <v>0.307711178175785</v>
      </c>
      <c r="X156" s="4"/>
      <c r="Y156" s="4"/>
      <c r="Z156" s="15"/>
      <c r="AA156" s="1"/>
    </row>
    <row r="157" customFormat="false" ht="15" hidden="false" customHeight="false" outlineLevel="0" collapsed="false">
      <c r="E157" s="3" t="n">
        <v>135</v>
      </c>
      <c r="F157" s="15" t="n">
        <v>10</v>
      </c>
      <c r="G157" s="15" t="n">
        <v>70</v>
      </c>
      <c r="H157" s="31" t="n">
        <v>57</v>
      </c>
      <c r="I157" s="15" t="n">
        <v>400</v>
      </c>
      <c r="J157" s="15" t="n">
        <f aca="false">I157^2/H157</f>
        <v>2807.01754385965</v>
      </c>
      <c r="K157" s="5" t="n">
        <f aca="false">H157/eff</f>
        <v>76</v>
      </c>
      <c r="L157" s="4" t="n">
        <f aca="false">F157^2*Dmax^2/(2*fs*H157)</f>
        <v>3.55263157894737E-006</v>
      </c>
      <c r="M157" s="1" t="n">
        <f aca="false">SQRT(2*fs*Lp*H157)/F157</f>
        <v>0.449199287621875</v>
      </c>
      <c r="N157" s="1" t="n">
        <f aca="false">F157*M157/(I157*(1-M157))</f>
        <v>0.0203884670774309</v>
      </c>
      <c r="O157" s="5" t="n">
        <f aca="false">SQRT(2*H157/(fs*Lp))</f>
        <v>25.3784908260946</v>
      </c>
      <c r="P157" s="1" t="n">
        <f aca="false">H157/(F157*eff)</f>
        <v>7.6</v>
      </c>
      <c r="Q157" s="1" t="n">
        <f aca="false">O157*SQRT(M157/3)</f>
        <v>9.82029862779944</v>
      </c>
      <c r="R157" s="1" t="n">
        <f aca="false">H157/I157</f>
        <v>0.1425</v>
      </c>
      <c r="S157" s="1" t="n">
        <f aca="false">SQRT(2*R157*n*O157/3)</f>
        <v>0.348311560886339</v>
      </c>
      <c r="T157" s="4" t="n">
        <f aca="false">0.5*Lp*O157^2</f>
        <v>0.00114</v>
      </c>
      <c r="U157" s="1" t="n">
        <f aca="false">F157*M157/(n*I157)</f>
        <v>0.223168393112691</v>
      </c>
      <c r="V157" s="4" t="n">
        <f aca="false">(n*O157-R157)*U157/(fs*n*O157)</f>
        <v>3.96532654540881E-006</v>
      </c>
      <c r="W157" s="4" t="n">
        <f aca="false">(n*O157-R157)*V157/(2*Cout)</f>
        <v>0.224945552345404</v>
      </c>
      <c r="X157" s="4"/>
      <c r="Y157" s="4"/>
      <c r="Z157" s="15"/>
      <c r="AA157" s="1"/>
    </row>
    <row r="158" customFormat="false" ht="15" hidden="false" customHeight="false" outlineLevel="0" collapsed="false">
      <c r="E158" s="3" t="n">
        <v>170</v>
      </c>
      <c r="F158" s="15" t="n">
        <v>10</v>
      </c>
      <c r="G158" s="15" t="n">
        <v>70</v>
      </c>
      <c r="H158" s="31" t="n">
        <v>57</v>
      </c>
      <c r="I158" s="15" t="n">
        <v>550</v>
      </c>
      <c r="J158" s="15" t="n">
        <f aca="false">I158^2/H158</f>
        <v>5307.01754385965</v>
      </c>
      <c r="K158" s="5" t="n">
        <f aca="false">H158/eff</f>
        <v>76</v>
      </c>
      <c r="L158" s="4" t="n">
        <f aca="false">F158^2*Dmax^2/(2*fs*H158)</f>
        <v>3.55263157894737E-006</v>
      </c>
      <c r="M158" s="1" t="n">
        <f aca="false">SQRT(2*fs*Lp*H158)/F158</f>
        <v>0.449199287621875</v>
      </c>
      <c r="N158" s="1" t="n">
        <f aca="false">F158*M158/(I158*(1-M158))</f>
        <v>0.0148279760563134</v>
      </c>
      <c r="O158" s="5" t="n">
        <f aca="false">SQRT(2*H158/(fs*Lp))</f>
        <v>25.3784908260946</v>
      </c>
      <c r="P158" s="1" t="n">
        <f aca="false">H158/(F158*eff)</f>
        <v>7.6</v>
      </c>
      <c r="Q158" s="1" t="n">
        <f aca="false">O158*SQRT(M158/3)</f>
        <v>9.82029862779944</v>
      </c>
      <c r="R158" s="1" t="n">
        <f aca="false">H158/I158</f>
        <v>0.103636363636364</v>
      </c>
      <c r="S158" s="1" t="n">
        <f aca="false">SQRT(2*R158*n*O158/3)</f>
        <v>0.297041097183633</v>
      </c>
      <c r="T158" s="4" t="n">
        <f aca="false">0.5*Lp*O158^2</f>
        <v>0.00114</v>
      </c>
      <c r="U158" s="1" t="n">
        <f aca="false">F158*M158/(n*I158)</f>
        <v>0.162304285900139</v>
      </c>
      <c r="V158" s="4" t="n">
        <f aca="false">(n*O158-R158)*U158/(fs*n*O158)</f>
        <v>2.98265890578724E-006</v>
      </c>
      <c r="W158" s="4" t="n">
        <f aca="false">(n*O158-R158)*V158/(2*Cout)</f>
        <v>0.17499650513127</v>
      </c>
      <c r="X158" s="4"/>
      <c r="Y158" s="4"/>
      <c r="Z158" s="15"/>
      <c r="AA158" s="1"/>
    </row>
    <row r="159" customFormat="false" ht="15" hidden="false" customHeight="false" outlineLevel="0" collapsed="false">
      <c r="E159" s="3" t="n">
        <v>136</v>
      </c>
      <c r="F159" s="15" t="n">
        <v>12</v>
      </c>
      <c r="G159" s="15" t="n">
        <v>70</v>
      </c>
      <c r="H159" s="15" t="n">
        <v>70</v>
      </c>
      <c r="I159" s="15" t="n">
        <v>400</v>
      </c>
      <c r="J159" s="15" t="n">
        <f aca="false">I159^2/H159</f>
        <v>2285.71428571429</v>
      </c>
      <c r="K159" s="5" t="n">
        <f aca="false">H159/eff</f>
        <v>93.3333333333333</v>
      </c>
      <c r="L159" s="4" t="n">
        <f aca="false">F159^2*Dmax^2/(2*fs*H159)</f>
        <v>4.16571428571429E-006</v>
      </c>
      <c r="M159" s="1" t="n">
        <f aca="false">SQRT(2*fs*Lp*H159)/F159</f>
        <v>0.414829282155121</v>
      </c>
      <c r="N159" s="1" t="n">
        <f aca="false">F159*M159/(I159*(1-M159))</f>
        <v>0.0212670902441715</v>
      </c>
      <c r="O159" s="5" t="n">
        <f aca="false">SQRT(2*H159/(fs*Lp))</f>
        <v>28.1240191291608</v>
      </c>
      <c r="P159" s="1" t="n">
        <f aca="false">H159/(F159*eff)</f>
        <v>7.77777777777778</v>
      </c>
      <c r="Q159" s="1" t="n">
        <f aca="false">O159*SQRT(M159/3)</f>
        <v>10.4580679622142</v>
      </c>
      <c r="R159" s="1" t="n">
        <f aca="false">H159/I159</f>
        <v>0.175</v>
      </c>
      <c r="S159" s="1" t="n">
        <f aca="false">SQRT(2*R159*n*O159/3)</f>
        <v>0.406335978162654</v>
      </c>
      <c r="T159" s="4" t="n">
        <f aca="false">0.5*Lp*O159^2</f>
        <v>0.0014</v>
      </c>
      <c r="U159" s="1" t="n">
        <f aca="false">F159*M159/(n*I159)</f>
        <v>0.247311481204071</v>
      </c>
      <c r="V159" s="4" t="n">
        <f aca="false">(n*O159-R159)*U159/(fs*n*O159)</f>
        <v>4.33459993672791E-006</v>
      </c>
      <c r="W159" s="4" t="n">
        <f aca="false">(n*O159-R159)*V159/(2*Cout)</f>
        <v>0.268792741342918</v>
      </c>
      <c r="X159" s="4"/>
      <c r="Y159" s="4"/>
      <c r="Z159" s="15"/>
      <c r="AA159" s="1"/>
    </row>
    <row r="160" customFormat="false" ht="15" hidden="false" customHeight="false" outlineLevel="0" collapsed="false">
      <c r="E160" s="3" t="n">
        <v>171</v>
      </c>
      <c r="F160" s="15" t="n">
        <v>12</v>
      </c>
      <c r="G160" s="15" t="n">
        <v>70</v>
      </c>
      <c r="H160" s="15" t="n">
        <v>70</v>
      </c>
      <c r="I160" s="15" t="n">
        <v>550</v>
      </c>
      <c r="J160" s="15" t="n">
        <f aca="false">I160^2/H160</f>
        <v>4321.42857142857</v>
      </c>
      <c r="K160" s="5" t="n">
        <f aca="false">H160/eff</f>
        <v>93.3333333333333</v>
      </c>
      <c r="L160" s="4" t="n">
        <f aca="false">F160^2*Dmax^2/(2*fs*H160)</f>
        <v>4.16571428571429E-006</v>
      </c>
      <c r="M160" s="1" t="n">
        <f aca="false">SQRT(2*fs*Lp*H160)/F160</f>
        <v>0.414829282155121</v>
      </c>
      <c r="N160" s="1" t="n">
        <f aca="false">F160*M160/(I160*(1-M160))</f>
        <v>0.0154669747230338</v>
      </c>
      <c r="O160" s="5" t="n">
        <f aca="false">SQRT(2*H160/(fs*Lp))</f>
        <v>28.1240191291608</v>
      </c>
      <c r="P160" s="1" t="n">
        <f aca="false">H160/(F160*eff)</f>
        <v>7.77777777777778</v>
      </c>
      <c r="Q160" s="1" t="n">
        <f aca="false">O160*SQRT(M160/3)</f>
        <v>10.4580679622142</v>
      </c>
      <c r="R160" s="1" t="n">
        <f aca="false">H160/I160</f>
        <v>0.127272727272727</v>
      </c>
      <c r="S160" s="1" t="n">
        <f aca="false">SQRT(2*R160*n*O160/3)</f>
        <v>0.346524486501342</v>
      </c>
      <c r="T160" s="4" t="n">
        <f aca="false">0.5*Lp*O160^2</f>
        <v>0.0014</v>
      </c>
      <c r="U160" s="1" t="n">
        <f aca="false">F160*M160/(n*I160)</f>
        <v>0.179862895421143</v>
      </c>
      <c r="V160" s="4" t="n">
        <f aca="false">(n*O160-R160)*U160/(fs*n*O160)</f>
        <v>3.27375129693008E-006</v>
      </c>
      <c r="W160" s="4" t="n">
        <f aca="false">(n*O160-R160)*V160/(2*Cout)</f>
        <v>0.210820850511391</v>
      </c>
      <c r="X160" s="4"/>
      <c r="Y160" s="4"/>
      <c r="Z160" s="15"/>
      <c r="AA160" s="1"/>
    </row>
    <row r="161" customFormat="false" ht="15" hidden="false" customHeight="false" outlineLevel="0" collapsed="false">
      <c r="E161" s="3" t="n">
        <v>66</v>
      </c>
      <c r="F161" s="15" t="n">
        <v>12</v>
      </c>
      <c r="G161" s="15" t="n">
        <v>70</v>
      </c>
      <c r="H161" s="15" t="n">
        <v>70</v>
      </c>
      <c r="I161" s="15" t="n">
        <v>170</v>
      </c>
      <c r="J161" s="15" t="n">
        <f aca="false">I161^2/H161</f>
        <v>412.857142857143</v>
      </c>
      <c r="K161" s="5" t="n">
        <f aca="false">H161/eff</f>
        <v>93.3333333333333</v>
      </c>
      <c r="L161" s="4" t="n">
        <f aca="false">F161^2*Dmax^2/(2*fs*H161)</f>
        <v>4.16571428571429E-006</v>
      </c>
      <c r="M161" s="1" t="n">
        <f aca="false">SQRT(2*fs*Lp*H161)/F161</f>
        <v>0.414829282155121</v>
      </c>
      <c r="N161" s="1" t="n">
        <f aca="false">F161*M161/(I161*(1-M161))</f>
        <v>0.050040212339227</v>
      </c>
      <c r="O161" s="5" t="n">
        <f aca="false">SQRT(2*H161/(fs*Lp))</f>
        <v>28.1240191291608</v>
      </c>
      <c r="P161" s="1" t="n">
        <f aca="false">H161/(F161*eff)</f>
        <v>7.77777777777778</v>
      </c>
      <c r="Q161" s="1" t="n">
        <f aca="false">O161*SQRT(M161/3)</f>
        <v>10.4580679622142</v>
      </c>
      <c r="R161" s="1" t="n">
        <f aca="false">H161/I161</f>
        <v>0.411764705882353</v>
      </c>
      <c r="S161" s="1" t="n">
        <f aca="false">SQRT(2*R161*n*O161/3)</f>
        <v>0.62329093791961</v>
      </c>
      <c r="T161" s="4" t="n">
        <f aca="false">0.5*Lp*O161^2</f>
        <v>0.0014</v>
      </c>
      <c r="U161" s="1" t="n">
        <f aca="false">F161*M161/(n*I161)</f>
        <v>0.581909367538991</v>
      </c>
      <c r="V161" s="4" t="n">
        <f aca="false">(n*O161-R161)*U161/(fs*n*O161)</f>
        <v>8.25200223048354E-006</v>
      </c>
      <c r="W161" s="4" t="n">
        <f aca="false">(n*O161-R161)*V161/(2*Cout)</f>
        <v>0.414025508621049</v>
      </c>
      <c r="X161" s="4"/>
      <c r="Y161" s="4"/>
      <c r="Z161" s="15"/>
      <c r="AA161" s="1"/>
    </row>
    <row r="162" customFormat="false" ht="15" hidden="false" customHeight="false" outlineLevel="0" collapsed="false">
      <c r="E162" s="3" t="n">
        <v>101</v>
      </c>
      <c r="F162" s="15" t="n">
        <v>12</v>
      </c>
      <c r="G162" s="15" t="n">
        <v>70</v>
      </c>
      <c r="H162" s="15" t="n">
        <v>70</v>
      </c>
      <c r="I162" s="15" t="n">
        <v>250</v>
      </c>
      <c r="J162" s="15" t="n">
        <f aca="false">I162^2/H162</f>
        <v>892.857142857143</v>
      </c>
      <c r="K162" s="5" t="n">
        <f aca="false">H162/eff</f>
        <v>93.3333333333333</v>
      </c>
      <c r="L162" s="4" t="n">
        <f aca="false">F162^2*Dmax^2/(2*fs*H162)</f>
        <v>4.16571428571429E-006</v>
      </c>
      <c r="M162" s="1" t="n">
        <f aca="false">SQRT(2*fs*Lp*H162)/F162</f>
        <v>0.414829282155121</v>
      </c>
      <c r="N162" s="1" t="n">
        <f aca="false">F162*M162/(I162*(1-M162))</f>
        <v>0.0340273443906744</v>
      </c>
      <c r="O162" s="5" t="n">
        <f aca="false">SQRT(2*H162/(fs*Lp))</f>
        <v>28.1240191291608</v>
      </c>
      <c r="P162" s="1" t="n">
        <f aca="false">H162/(F162*eff)</f>
        <v>7.77777777777778</v>
      </c>
      <c r="Q162" s="1" t="n">
        <f aca="false">O162*SQRT(M162/3)</f>
        <v>10.4580679622142</v>
      </c>
      <c r="R162" s="1" t="n">
        <f aca="false">H162/I162</f>
        <v>0.28</v>
      </c>
      <c r="S162" s="1" t="n">
        <f aca="false">SQRT(2*R162*n*O162/3)</f>
        <v>0.513978874506571</v>
      </c>
      <c r="T162" s="4" t="n">
        <f aca="false">0.5*Lp*O162^2</f>
        <v>0.0014</v>
      </c>
      <c r="U162" s="1" t="n">
        <f aca="false">F162*M162/(n*I162)</f>
        <v>0.395698369926514</v>
      </c>
      <c r="V162" s="4" t="n">
        <f aca="false">(n*O162-R162)*U162/(fs*n*O162)</f>
        <v>6.34819539890527E-006</v>
      </c>
      <c r="W162" s="4" t="n">
        <f aca="false">(n*O162-R162)*V162/(2*Cout)</f>
        <v>0.360329720835902</v>
      </c>
      <c r="X162" s="4"/>
      <c r="Y162" s="4"/>
      <c r="Z162" s="15"/>
      <c r="AA162" s="1"/>
    </row>
    <row r="163" customFormat="false" ht="15" hidden="false" customHeight="false" outlineLevel="0" collapsed="false">
      <c r="E163" s="3" t="n">
        <v>67</v>
      </c>
      <c r="F163" s="15" t="n">
        <v>15</v>
      </c>
      <c r="G163" s="15" t="n">
        <v>70</v>
      </c>
      <c r="H163" s="15" t="n">
        <v>70</v>
      </c>
      <c r="I163" s="15" t="n">
        <v>170</v>
      </c>
      <c r="J163" s="15" t="n">
        <f aca="false">I163^2/H163</f>
        <v>412.857142857143</v>
      </c>
      <c r="K163" s="5" t="n">
        <f aca="false">H163/eff</f>
        <v>93.3333333333333</v>
      </c>
      <c r="L163" s="4" t="n">
        <f aca="false">F163^2*Dmax^2/(2*fs*H163)</f>
        <v>6.50892857142857E-006</v>
      </c>
      <c r="M163" s="1" t="n">
        <f aca="false">SQRT(2*fs*Lp*H163)/F163</f>
        <v>0.331863425724097</v>
      </c>
      <c r="N163" s="1" t="n">
        <f aca="false">F163*M163/(I163*(1-M163))</f>
        <v>0.0438264691726991</v>
      </c>
      <c r="O163" s="5" t="n">
        <f aca="false">SQRT(2*H163/(fs*Lp))</f>
        <v>28.1240191291608</v>
      </c>
      <c r="P163" s="1" t="n">
        <f aca="false">H163/(F163*eff)</f>
        <v>6.22222222222222</v>
      </c>
      <c r="Q163" s="1" t="n">
        <f aca="false">O163*SQRT(M163/3)</f>
        <v>9.3539803507295</v>
      </c>
      <c r="R163" s="1" t="n">
        <f aca="false">H163/I163</f>
        <v>0.411764705882353</v>
      </c>
      <c r="S163" s="1" t="n">
        <f aca="false">SQRT(2*R163*n*O163/3)</f>
        <v>0.62329093791961</v>
      </c>
      <c r="T163" s="4" t="n">
        <f aca="false">0.5*Lp*O163^2</f>
        <v>0.0014</v>
      </c>
      <c r="U163" s="1" t="n">
        <f aca="false">F163*M163/(n*I163)</f>
        <v>0.581909367538991</v>
      </c>
      <c r="V163" s="4" t="n">
        <f aca="false">(n*O163-R163)*U163/(fs*n*O163)</f>
        <v>8.25200223048354E-006</v>
      </c>
      <c r="W163" s="4" t="n">
        <f aca="false">(n*O163-R163)*V163/(2*Cout)</f>
        <v>0.414025508621049</v>
      </c>
      <c r="X163" s="4"/>
      <c r="Y163" s="4"/>
      <c r="Z163" s="15"/>
      <c r="AA163" s="1"/>
    </row>
    <row r="164" customFormat="false" ht="15" hidden="false" customHeight="false" outlineLevel="0" collapsed="false">
      <c r="E164" s="3" t="n">
        <v>102</v>
      </c>
      <c r="F164" s="15" t="n">
        <v>15</v>
      </c>
      <c r="G164" s="15" t="n">
        <v>70</v>
      </c>
      <c r="H164" s="15" t="n">
        <v>70</v>
      </c>
      <c r="I164" s="15" t="n">
        <v>250</v>
      </c>
      <c r="J164" s="15" t="n">
        <f aca="false">I164^2/H164</f>
        <v>892.857142857143</v>
      </c>
      <c r="K164" s="5" t="n">
        <f aca="false">H164/eff</f>
        <v>93.3333333333333</v>
      </c>
      <c r="L164" s="4" t="n">
        <f aca="false">F164^2*Dmax^2/(2*fs*H164)</f>
        <v>6.50892857142857E-006</v>
      </c>
      <c r="M164" s="1" t="n">
        <f aca="false">SQRT(2*fs*Lp*H164)/F164</f>
        <v>0.331863425724097</v>
      </c>
      <c r="N164" s="1" t="n">
        <f aca="false">F164*M164/(I164*(1-M164))</f>
        <v>0.0298019990374354</v>
      </c>
      <c r="O164" s="5" t="n">
        <f aca="false">SQRT(2*H164/(fs*Lp))</f>
        <v>28.1240191291608</v>
      </c>
      <c r="P164" s="1" t="n">
        <f aca="false">H164/(F164*eff)</f>
        <v>6.22222222222222</v>
      </c>
      <c r="Q164" s="1" t="n">
        <f aca="false">O164*SQRT(M164/3)</f>
        <v>9.3539803507295</v>
      </c>
      <c r="R164" s="1" t="n">
        <f aca="false">H164/I164</f>
        <v>0.28</v>
      </c>
      <c r="S164" s="1" t="n">
        <f aca="false">SQRT(2*R164*n*O164/3)</f>
        <v>0.513978874506571</v>
      </c>
      <c r="T164" s="4" t="n">
        <f aca="false">0.5*Lp*O164^2</f>
        <v>0.0014</v>
      </c>
      <c r="U164" s="1" t="n">
        <f aca="false">F164*M164/(n*I164)</f>
        <v>0.395698369926514</v>
      </c>
      <c r="V164" s="4" t="n">
        <f aca="false">(n*O164-R164)*U164/(fs*n*O164)</f>
        <v>6.34819539890527E-006</v>
      </c>
      <c r="W164" s="4" t="n">
        <f aca="false">(n*O164-R164)*V164/(2*Cout)</f>
        <v>0.360329720835902</v>
      </c>
      <c r="X164" s="4"/>
      <c r="Y164" s="4"/>
      <c r="Z164" s="15"/>
      <c r="AA164" s="1"/>
    </row>
    <row r="165" customFormat="false" ht="15" hidden="false" customHeight="false" outlineLevel="0" collapsed="false">
      <c r="E165" s="3" t="n">
        <v>137</v>
      </c>
      <c r="F165" s="15" t="n">
        <v>15</v>
      </c>
      <c r="G165" s="15" t="n">
        <v>70</v>
      </c>
      <c r="H165" s="15" t="n">
        <v>70</v>
      </c>
      <c r="I165" s="15" t="n">
        <v>400</v>
      </c>
      <c r="J165" s="15" t="n">
        <f aca="false">I165^2/H165</f>
        <v>2285.71428571429</v>
      </c>
      <c r="K165" s="5" t="n">
        <f aca="false">H165/eff</f>
        <v>93.3333333333333</v>
      </c>
      <c r="L165" s="4" t="n">
        <f aca="false">F165^2*Dmax^2/(2*fs*H165)</f>
        <v>6.50892857142857E-006</v>
      </c>
      <c r="M165" s="1" t="n">
        <f aca="false">SQRT(2*fs*Lp*H165)/F165</f>
        <v>0.331863425724097</v>
      </c>
      <c r="N165" s="1" t="n">
        <f aca="false">F165*M165/(I165*(1-M165))</f>
        <v>0.0186262493983971</v>
      </c>
      <c r="O165" s="5" t="n">
        <f aca="false">SQRT(2*H165/(fs*Lp))</f>
        <v>28.1240191291608</v>
      </c>
      <c r="P165" s="1" t="n">
        <f aca="false">H165/(F165*eff)</f>
        <v>6.22222222222222</v>
      </c>
      <c r="Q165" s="1" t="n">
        <f aca="false">O165*SQRT(M165/3)</f>
        <v>9.3539803507295</v>
      </c>
      <c r="R165" s="1" t="n">
        <f aca="false">H165/I165</f>
        <v>0.175</v>
      </c>
      <c r="S165" s="1" t="n">
        <f aca="false">SQRT(2*R165*n*O165/3)</f>
        <v>0.406335978162654</v>
      </c>
      <c r="T165" s="4" t="n">
        <f aca="false">0.5*Lp*O165^2</f>
        <v>0.0014</v>
      </c>
      <c r="U165" s="1" t="n">
        <f aca="false">F165*M165/(n*I165)</f>
        <v>0.247311481204071</v>
      </c>
      <c r="V165" s="4" t="n">
        <f aca="false">(n*O165-R165)*U165/(fs*n*O165)</f>
        <v>4.33459993672791E-006</v>
      </c>
      <c r="W165" s="4" t="n">
        <f aca="false">(n*O165-R165)*V165/(2*Cout)</f>
        <v>0.268792741342918</v>
      </c>
      <c r="X165" s="4"/>
      <c r="Y165" s="4"/>
      <c r="Z165" s="15"/>
      <c r="AA165" s="1"/>
    </row>
    <row r="166" customFormat="false" ht="15" hidden="false" customHeight="false" outlineLevel="0" collapsed="false">
      <c r="E166" s="3" t="n">
        <v>172</v>
      </c>
      <c r="F166" s="15" t="n">
        <v>15</v>
      </c>
      <c r="G166" s="15" t="n">
        <v>70</v>
      </c>
      <c r="H166" s="15" t="n">
        <v>70</v>
      </c>
      <c r="I166" s="15" t="n">
        <v>550</v>
      </c>
      <c r="J166" s="15" t="n">
        <f aca="false">I166^2/H166</f>
        <v>4321.42857142857</v>
      </c>
      <c r="K166" s="5" t="n">
        <f aca="false">H166/eff</f>
        <v>93.3333333333333</v>
      </c>
      <c r="L166" s="4" t="n">
        <f aca="false">F166^2*Dmax^2/(2*fs*H166)</f>
        <v>6.50892857142857E-006</v>
      </c>
      <c r="M166" s="1" t="n">
        <f aca="false">SQRT(2*fs*Lp*H166)/F166</f>
        <v>0.331863425724097</v>
      </c>
      <c r="N166" s="1" t="n">
        <f aca="false">F166*M166/(I166*(1-M166))</f>
        <v>0.0135463631988343</v>
      </c>
      <c r="O166" s="5" t="n">
        <f aca="false">SQRT(2*H166/(fs*Lp))</f>
        <v>28.1240191291608</v>
      </c>
      <c r="P166" s="1" t="n">
        <f aca="false">H166/(F166*eff)</f>
        <v>6.22222222222222</v>
      </c>
      <c r="Q166" s="1" t="n">
        <f aca="false">O166*SQRT(M166/3)</f>
        <v>9.3539803507295</v>
      </c>
      <c r="R166" s="1" t="n">
        <f aca="false">H166/I166</f>
        <v>0.127272727272727</v>
      </c>
      <c r="S166" s="1" t="n">
        <f aca="false">SQRT(2*R166*n*O166/3)</f>
        <v>0.346524486501342</v>
      </c>
      <c r="T166" s="4" t="n">
        <f aca="false">0.5*Lp*O166^2</f>
        <v>0.0014</v>
      </c>
      <c r="U166" s="1" t="n">
        <f aca="false">F166*M166/(n*I166)</f>
        <v>0.179862895421143</v>
      </c>
      <c r="V166" s="4" t="n">
        <f aca="false">(n*O166-R166)*U166/(fs*n*O166)</f>
        <v>3.27375129693008E-006</v>
      </c>
      <c r="W166" s="4" t="n">
        <f aca="false">(n*O166-R166)*V166/(2*Cout)</f>
        <v>0.210820850511391</v>
      </c>
      <c r="X166" s="4"/>
      <c r="Y166" s="4"/>
      <c r="Z166" s="15"/>
      <c r="AA166" s="1"/>
    </row>
    <row r="167" customFormat="false" ht="15" hidden="false" customHeight="false" outlineLevel="0" collapsed="false">
      <c r="E167" s="3" t="n">
        <v>68</v>
      </c>
      <c r="F167" s="15" t="n">
        <v>18</v>
      </c>
      <c r="G167" s="15" t="n">
        <v>70</v>
      </c>
      <c r="H167" s="15" t="n">
        <v>70</v>
      </c>
      <c r="I167" s="15" t="n">
        <v>170</v>
      </c>
      <c r="J167" s="15" t="n">
        <f aca="false">I167^2/H167</f>
        <v>412.857142857143</v>
      </c>
      <c r="K167" s="5" t="n">
        <f aca="false">H167/eff</f>
        <v>93.3333333333333</v>
      </c>
      <c r="L167" s="4" t="n">
        <f aca="false">F167^2*Dmax^2/(2*fs*H167)</f>
        <v>9.37285714285714E-006</v>
      </c>
      <c r="M167" s="1" t="n">
        <f aca="false">SQRT(2*fs*Lp*H167)/F167</f>
        <v>0.276552854770081</v>
      </c>
      <c r="N167" s="1" t="n">
        <f aca="false">F167*M167/(I167*(1-M167))</f>
        <v>0.0404757516409156</v>
      </c>
      <c r="O167" s="5" t="n">
        <f aca="false">SQRT(2*H167/(fs*Lp))</f>
        <v>28.1240191291608</v>
      </c>
      <c r="P167" s="1" t="n">
        <f aca="false">H167/(F167*eff)</f>
        <v>5.18518518518519</v>
      </c>
      <c r="Q167" s="1" t="n">
        <f aca="false">O167*SQRT(M167/3)</f>
        <v>8.53897673425772</v>
      </c>
      <c r="R167" s="1" t="n">
        <f aca="false">H167/I167</f>
        <v>0.411764705882353</v>
      </c>
      <c r="S167" s="1" t="n">
        <f aca="false">SQRT(2*R167*n*O167/3)</f>
        <v>0.62329093791961</v>
      </c>
      <c r="T167" s="4" t="n">
        <f aca="false">0.5*Lp*O167^2</f>
        <v>0.0014</v>
      </c>
      <c r="U167" s="1" t="n">
        <f aca="false">F167*M167/(n*I167)</f>
        <v>0.581909367538991</v>
      </c>
      <c r="V167" s="4" t="n">
        <f aca="false">(n*O167-R167)*U167/(fs*n*O167)</f>
        <v>8.25200223048354E-006</v>
      </c>
      <c r="W167" s="4" t="n">
        <f aca="false">(n*O167-R167)*V167/(2*Cout)</f>
        <v>0.414025508621049</v>
      </c>
      <c r="X167" s="4"/>
      <c r="Y167" s="4"/>
      <c r="Z167" s="15"/>
      <c r="AA167" s="1"/>
    </row>
    <row r="168" customFormat="false" ht="15" hidden="false" customHeight="false" outlineLevel="0" collapsed="false">
      <c r="E168" s="3" t="n">
        <v>103</v>
      </c>
      <c r="F168" s="15" t="n">
        <v>18</v>
      </c>
      <c r="G168" s="15" t="n">
        <v>70</v>
      </c>
      <c r="H168" s="15" t="n">
        <v>70</v>
      </c>
      <c r="I168" s="15" t="n">
        <v>250</v>
      </c>
      <c r="J168" s="15" t="n">
        <f aca="false">I168^2/H168</f>
        <v>892.857142857143</v>
      </c>
      <c r="K168" s="5" t="n">
        <f aca="false">H168/eff</f>
        <v>93.3333333333333</v>
      </c>
      <c r="L168" s="4" t="n">
        <f aca="false">F168^2*Dmax^2/(2*fs*H168)</f>
        <v>9.37285714285714E-006</v>
      </c>
      <c r="M168" s="1" t="n">
        <f aca="false">SQRT(2*fs*Lp*H168)/F168</f>
        <v>0.276552854770081</v>
      </c>
      <c r="N168" s="1" t="n">
        <f aca="false">F168*M168/(I168*(1-M168))</f>
        <v>0.0275235111158226</v>
      </c>
      <c r="O168" s="5" t="n">
        <f aca="false">SQRT(2*H168/(fs*Lp))</f>
        <v>28.1240191291608</v>
      </c>
      <c r="P168" s="1" t="n">
        <f aca="false">H168/(F168*eff)</f>
        <v>5.18518518518519</v>
      </c>
      <c r="Q168" s="1" t="n">
        <f aca="false">O168*SQRT(M168/3)</f>
        <v>8.53897673425772</v>
      </c>
      <c r="R168" s="1" t="n">
        <f aca="false">H168/I168</f>
        <v>0.28</v>
      </c>
      <c r="S168" s="1" t="n">
        <f aca="false">SQRT(2*R168*n*O168/3)</f>
        <v>0.513978874506571</v>
      </c>
      <c r="T168" s="4" t="n">
        <f aca="false">0.5*Lp*O168^2</f>
        <v>0.0014</v>
      </c>
      <c r="U168" s="1" t="n">
        <f aca="false">F168*M168/(n*I168)</f>
        <v>0.395698369926514</v>
      </c>
      <c r="V168" s="4" t="n">
        <f aca="false">(n*O168-R168)*U168/(fs*n*O168)</f>
        <v>6.34819539890527E-006</v>
      </c>
      <c r="W168" s="4" t="n">
        <f aca="false">(n*O168-R168)*V168/(2*Cout)</f>
        <v>0.360329720835902</v>
      </c>
      <c r="X168" s="4"/>
      <c r="Y168" s="4"/>
      <c r="Z168" s="15"/>
      <c r="AA168" s="1"/>
    </row>
    <row r="169" customFormat="false" ht="15" hidden="false" customHeight="false" outlineLevel="0" collapsed="false">
      <c r="E169" s="3" t="n">
        <v>138</v>
      </c>
      <c r="F169" s="15" t="n">
        <v>18</v>
      </c>
      <c r="G169" s="15" t="n">
        <v>70</v>
      </c>
      <c r="H169" s="15" t="n">
        <v>70</v>
      </c>
      <c r="I169" s="15" t="n">
        <v>400</v>
      </c>
      <c r="J169" s="15" t="n">
        <f aca="false">I169^2/H169</f>
        <v>2285.71428571429</v>
      </c>
      <c r="K169" s="5" t="n">
        <f aca="false">H169/eff</f>
        <v>93.3333333333333</v>
      </c>
      <c r="L169" s="4" t="n">
        <f aca="false">F169^2*Dmax^2/(2*fs*H169)</f>
        <v>9.37285714285714E-006</v>
      </c>
      <c r="M169" s="1" t="n">
        <f aca="false">SQRT(2*fs*Lp*H169)/F169</f>
        <v>0.276552854770081</v>
      </c>
      <c r="N169" s="1" t="n">
        <f aca="false">F169*M169/(I169*(1-M169))</f>
        <v>0.0172021944473891</v>
      </c>
      <c r="O169" s="5" t="n">
        <f aca="false">SQRT(2*H169/(fs*Lp))</f>
        <v>28.1240191291608</v>
      </c>
      <c r="P169" s="1" t="n">
        <f aca="false">H169/(F169*eff)</f>
        <v>5.18518518518519</v>
      </c>
      <c r="Q169" s="1" t="n">
        <f aca="false">O169*SQRT(M169/3)</f>
        <v>8.53897673425772</v>
      </c>
      <c r="R169" s="1" t="n">
        <f aca="false">H169/I169</f>
        <v>0.175</v>
      </c>
      <c r="S169" s="1" t="n">
        <f aca="false">SQRT(2*R169*n*O169/3)</f>
        <v>0.406335978162654</v>
      </c>
      <c r="T169" s="4" t="n">
        <f aca="false">0.5*Lp*O169^2</f>
        <v>0.0014</v>
      </c>
      <c r="U169" s="1" t="n">
        <f aca="false">F169*M169/(n*I169)</f>
        <v>0.247311481204071</v>
      </c>
      <c r="V169" s="4" t="n">
        <f aca="false">(n*O169-R169)*U169/(fs*n*O169)</f>
        <v>4.33459993672791E-006</v>
      </c>
      <c r="W169" s="4" t="n">
        <f aca="false">(n*O169-R169)*V169/(2*Cout)</f>
        <v>0.268792741342918</v>
      </c>
      <c r="X169" s="4"/>
      <c r="Y169" s="4"/>
      <c r="Z169" s="15"/>
      <c r="AA169" s="1"/>
    </row>
    <row r="170" customFormat="false" ht="15" hidden="false" customHeight="false" outlineLevel="0" collapsed="false">
      <c r="E170" s="3" t="n">
        <v>173</v>
      </c>
      <c r="F170" s="15" t="n">
        <v>18</v>
      </c>
      <c r="G170" s="15" t="n">
        <v>70</v>
      </c>
      <c r="H170" s="15" t="n">
        <v>70</v>
      </c>
      <c r="I170" s="15" t="n">
        <v>550</v>
      </c>
      <c r="J170" s="15" t="n">
        <f aca="false">I170^2/H170</f>
        <v>4321.42857142857</v>
      </c>
      <c r="K170" s="5" t="n">
        <f aca="false">H170/eff</f>
        <v>93.3333333333333</v>
      </c>
      <c r="L170" s="4" t="n">
        <f aca="false">F170^2*Dmax^2/(2*fs*H170)</f>
        <v>9.37285714285714E-006</v>
      </c>
      <c r="M170" s="1" t="n">
        <f aca="false">SQRT(2*fs*Lp*H170)/F170</f>
        <v>0.276552854770081</v>
      </c>
      <c r="N170" s="1" t="n">
        <f aca="false">F170*M170/(I170*(1-M170))</f>
        <v>0.0125106868708285</v>
      </c>
      <c r="O170" s="5" t="n">
        <f aca="false">SQRT(2*H170/(fs*Lp))</f>
        <v>28.1240191291608</v>
      </c>
      <c r="P170" s="1" t="n">
        <f aca="false">H170/(F170*eff)</f>
        <v>5.18518518518519</v>
      </c>
      <c r="Q170" s="1" t="n">
        <f aca="false">O170*SQRT(M170/3)</f>
        <v>8.53897673425772</v>
      </c>
      <c r="R170" s="1" t="n">
        <f aca="false">H170/I170</f>
        <v>0.127272727272727</v>
      </c>
      <c r="S170" s="1" t="n">
        <f aca="false">SQRT(2*R170*n*O170/3)</f>
        <v>0.346524486501342</v>
      </c>
      <c r="T170" s="4" t="n">
        <f aca="false">0.5*Lp*O170^2</f>
        <v>0.0014</v>
      </c>
      <c r="U170" s="1" t="n">
        <f aca="false">F170*M170/(n*I170)</f>
        <v>0.179862895421143</v>
      </c>
      <c r="V170" s="4" t="n">
        <f aca="false">(n*O170-R170)*U170/(fs*n*O170)</f>
        <v>3.27375129693008E-006</v>
      </c>
      <c r="W170" s="4" t="n">
        <f aca="false">(n*O170-R170)*V170/(2*Cout)</f>
        <v>0.210820850511391</v>
      </c>
      <c r="X170" s="4"/>
      <c r="Y170" s="4"/>
      <c r="Z170" s="15"/>
      <c r="AA170" s="1"/>
    </row>
    <row r="171" customFormat="false" ht="15" hidden="false" customHeight="false" outlineLevel="0" collapsed="false">
      <c r="E171" s="3" t="n">
        <v>140</v>
      </c>
      <c r="F171" s="15" t="n">
        <v>24</v>
      </c>
      <c r="G171" s="15" t="n">
        <v>70</v>
      </c>
      <c r="H171" s="15" t="n">
        <v>70</v>
      </c>
      <c r="I171" s="15" t="n">
        <v>400</v>
      </c>
      <c r="J171" s="15" t="n">
        <f aca="false">I171^2/H171</f>
        <v>2285.71428571429</v>
      </c>
      <c r="K171" s="5" t="n">
        <f aca="false">H171/eff</f>
        <v>93.3333333333333</v>
      </c>
      <c r="L171" s="4" t="n">
        <f aca="false">F171^2*Dmax^2/(2*fs*H171)</f>
        <v>1.66628571428571E-005</v>
      </c>
      <c r="M171" s="1" t="n">
        <f aca="false">SQRT(2*fs*Lp*H171)/F171</f>
        <v>0.207414641077561</v>
      </c>
      <c r="N171" s="1" t="n">
        <f aca="false">F171*M171/(I171*(1-M171))</f>
        <v>0.0157016254773784</v>
      </c>
      <c r="O171" s="5" t="n">
        <f aca="false">SQRT(2*H171/(fs*Lp))</f>
        <v>28.1240191291608</v>
      </c>
      <c r="P171" s="1" t="n">
        <f aca="false">H171/(F171*eff)</f>
        <v>3.88888888888889</v>
      </c>
      <c r="Q171" s="1" t="n">
        <f aca="false">O171*SQRT(M171/3)</f>
        <v>7.39497077419147</v>
      </c>
      <c r="R171" s="1" t="n">
        <f aca="false">H171/I171</f>
        <v>0.175</v>
      </c>
      <c r="S171" s="1" t="n">
        <f aca="false">SQRT(2*R171*n*O171/3)</f>
        <v>0.406335978162654</v>
      </c>
      <c r="T171" s="4" t="n">
        <f aca="false">0.5*Lp*O171^2</f>
        <v>0.0014</v>
      </c>
      <c r="U171" s="1" t="n">
        <f aca="false">F171*M171/(n*I171)</f>
        <v>0.247311481204071</v>
      </c>
      <c r="V171" s="4" t="n">
        <f aca="false">(n*O171-R171)*U171/(fs*n*O171)</f>
        <v>4.33459993672791E-006</v>
      </c>
      <c r="W171" s="4" t="n">
        <f aca="false">(n*O171-R171)*V171/(2*Cout)</f>
        <v>0.268792741342918</v>
      </c>
      <c r="X171" s="4"/>
      <c r="Y171" s="4"/>
      <c r="Z171" s="15"/>
      <c r="AA171" s="1"/>
    </row>
    <row r="172" customFormat="false" ht="15" hidden="false" customHeight="false" outlineLevel="0" collapsed="false">
      <c r="E172" s="3" t="n">
        <v>175</v>
      </c>
      <c r="F172" s="15" t="n">
        <v>24</v>
      </c>
      <c r="G172" s="15" t="n">
        <v>70</v>
      </c>
      <c r="H172" s="15" t="n">
        <v>70</v>
      </c>
      <c r="I172" s="15" t="n">
        <v>550</v>
      </c>
      <c r="J172" s="15" t="n">
        <f aca="false">I172^2/H172</f>
        <v>4321.42857142857</v>
      </c>
      <c r="K172" s="5" t="n">
        <f aca="false">H172/eff</f>
        <v>93.3333333333333</v>
      </c>
      <c r="L172" s="4" t="n">
        <f aca="false">F172^2*Dmax^2/(2*fs*H172)</f>
        <v>1.66628571428571E-005</v>
      </c>
      <c r="M172" s="1" t="n">
        <f aca="false">SQRT(2*fs*Lp*H172)/F172</f>
        <v>0.207414641077561</v>
      </c>
      <c r="N172" s="1" t="n">
        <f aca="false">F172*M172/(I172*(1-M172))</f>
        <v>0.0114193639835479</v>
      </c>
      <c r="O172" s="5" t="n">
        <f aca="false">SQRT(2*H172/(fs*Lp))</f>
        <v>28.1240191291608</v>
      </c>
      <c r="P172" s="1" t="n">
        <f aca="false">H172/(F172*eff)</f>
        <v>3.88888888888889</v>
      </c>
      <c r="Q172" s="1" t="n">
        <f aca="false">O172*SQRT(M172/3)</f>
        <v>7.39497077419147</v>
      </c>
      <c r="R172" s="1" t="n">
        <f aca="false">H172/I172</f>
        <v>0.127272727272727</v>
      </c>
      <c r="S172" s="1" t="n">
        <f aca="false">SQRT(2*R172*n*O172/3)</f>
        <v>0.346524486501342</v>
      </c>
      <c r="T172" s="4" t="n">
        <f aca="false">0.5*Lp*O172^2</f>
        <v>0.0014</v>
      </c>
      <c r="U172" s="1" t="n">
        <f aca="false">F172*M172/(n*I172)</f>
        <v>0.179862895421143</v>
      </c>
      <c r="V172" s="4" t="n">
        <f aca="false">(n*O172-R172)*U172/(fs*n*O172)</f>
        <v>3.27375129693008E-006</v>
      </c>
      <c r="W172" s="4" t="n">
        <f aca="false">(n*O172-R172)*V172/(2*Cout)</f>
        <v>0.210820850511391</v>
      </c>
      <c r="X172" s="4"/>
      <c r="Y172" s="4"/>
      <c r="Z172" s="15"/>
      <c r="AA172" s="1"/>
    </row>
    <row r="173" customFormat="false" ht="15" hidden="false" customHeight="false" outlineLevel="0" collapsed="false">
      <c r="E173" s="3" t="n">
        <v>69</v>
      </c>
      <c r="F173" s="15" t="n">
        <v>20</v>
      </c>
      <c r="G173" s="15" t="n">
        <v>70</v>
      </c>
      <c r="H173" s="15" t="n">
        <v>70</v>
      </c>
      <c r="I173" s="15" t="n">
        <v>170</v>
      </c>
      <c r="J173" s="15" t="n">
        <f aca="false">I173^2/H173</f>
        <v>412.857142857143</v>
      </c>
      <c r="K173" s="5" t="n">
        <f aca="false">H173/eff</f>
        <v>93.3333333333333</v>
      </c>
      <c r="L173" s="4" t="n">
        <f aca="false">F173^2*Dmax^2/(2*fs*H173)</f>
        <v>1.15714285714286E-005</v>
      </c>
      <c r="M173" s="1" t="n">
        <f aca="false">SQRT(2*fs*Lp*H173)/F173</f>
        <v>0.248897569293073</v>
      </c>
      <c r="N173" s="1" t="n">
        <f aca="false">F173*M173/(I173*(1-M173))</f>
        <v>0.0389854509565303</v>
      </c>
      <c r="O173" s="5" t="n">
        <f aca="false">SQRT(2*H173/(fs*Lp))</f>
        <v>28.1240191291608</v>
      </c>
      <c r="P173" s="1" t="n">
        <f aca="false">H173/(F173*eff)</f>
        <v>4.66666666666667</v>
      </c>
      <c r="Q173" s="1" t="n">
        <f aca="false">O173*SQRT(M173/3)</f>
        <v>8.10078461023222</v>
      </c>
      <c r="R173" s="1" t="n">
        <f aca="false">H173/I173</f>
        <v>0.411764705882353</v>
      </c>
      <c r="S173" s="1" t="n">
        <f aca="false">SQRT(2*R173*n*O173/3)</f>
        <v>0.62329093791961</v>
      </c>
      <c r="T173" s="4" t="n">
        <f aca="false">0.5*Lp*O173^2</f>
        <v>0.0014</v>
      </c>
      <c r="U173" s="1" t="n">
        <f aca="false">F173*M173/(n*I173)</f>
        <v>0.581909367538991</v>
      </c>
      <c r="V173" s="4" t="n">
        <f aca="false">(n*O173-R173)*U173/(fs*n*O173)</f>
        <v>8.25200223048354E-006</v>
      </c>
      <c r="W173" s="4" t="n">
        <f aca="false">(n*O173-R173)*V173/(2*Cout)</f>
        <v>0.414025508621049</v>
      </c>
      <c r="X173" s="4"/>
      <c r="Y173" s="4"/>
      <c r="Z173" s="15"/>
      <c r="AA173" s="1"/>
    </row>
    <row r="174" customFormat="false" ht="15" hidden="false" customHeight="false" outlineLevel="0" collapsed="false">
      <c r="E174" s="3" t="n">
        <v>104</v>
      </c>
      <c r="F174" s="15" t="n">
        <v>20</v>
      </c>
      <c r="G174" s="15" t="n">
        <v>70</v>
      </c>
      <c r="H174" s="15" t="n">
        <v>70</v>
      </c>
      <c r="I174" s="15" t="n">
        <v>250</v>
      </c>
      <c r="J174" s="15" t="n">
        <f aca="false">I174^2/H174</f>
        <v>892.857142857143</v>
      </c>
      <c r="K174" s="5" t="n">
        <f aca="false">H174/eff</f>
        <v>93.3333333333333</v>
      </c>
      <c r="L174" s="4" t="n">
        <f aca="false">F174^2*Dmax^2/(2*fs*H174)</f>
        <v>1.15714285714286E-005</v>
      </c>
      <c r="M174" s="1" t="n">
        <f aca="false">SQRT(2*fs*Lp*H174)/F174</f>
        <v>0.248897569293073</v>
      </c>
      <c r="N174" s="1" t="n">
        <f aca="false">F174*M174/(I174*(1-M174))</f>
        <v>0.0265101066504406</v>
      </c>
      <c r="O174" s="5" t="n">
        <f aca="false">SQRT(2*H174/(fs*Lp))</f>
        <v>28.1240191291608</v>
      </c>
      <c r="P174" s="1" t="n">
        <f aca="false">H174/(F174*eff)</f>
        <v>4.66666666666667</v>
      </c>
      <c r="Q174" s="1" t="n">
        <f aca="false">O174*SQRT(M174/3)</f>
        <v>8.10078461023222</v>
      </c>
      <c r="R174" s="1" t="n">
        <f aca="false">H174/I174</f>
        <v>0.28</v>
      </c>
      <c r="S174" s="1" t="n">
        <f aca="false">SQRT(2*R174*n*O174/3)</f>
        <v>0.513978874506571</v>
      </c>
      <c r="T174" s="4" t="n">
        <f aca="false">0.5*Lp*O174^2</f>
        <v>0.0014</v>
      </c>
      <c r="U174" s="1" t="n">
        <f aca="false">F174*M174/(n*I174)</f>
        <v>0.395698369926514</v>
      </c>
      <c r="V174" s="4" t="n">
        <f aca="false">(n*O174-R174)*U174/(fs*n*O174)</f>
        <v>6.34819539890527E-006</v>
      </c>
      <c r="W174" s="4" t="n">
        <f aca="false">(n*O174-R174)*V174/(2*Cout)</f>
        <v>0.360329720835902</v>
      </c>
      <c r="X174" s="4"/>
      <c r="Y174" s="4"/>
      <c r="Z174" s="15"/>
      <c r="AA174" s="1"/>
    </row>
    <row r="175" customFormat="false" ht="15" hidden="false" customHeight="false" outlineLevel="0" collapsed="false">
      <c r="E175" s="3" t="n">
        <v>139</v>
      </c>
      <c r="F175" s="15" t="n">
        <v>20</v>
      </c>
      <c r="G175" s="15" t="n">
        <v>70</v>
      </c>
      <c r="H175" s="15" t="n">
        <v>70</v>
      </c>
      <c r="I175" s="15" t="n">
        <v>400</v>
      </c>
      <c r="J175" s="15" t="n">
        <f aca="false">I175^2/H175</f>
        <v>2285.71428571429</v>
      </c>
      <c r="K175" s="5" t="n">
        <f aca="false">H175/eff</f>
        <v>93.3333333333333</v>
      </c>
      <c r="L175" s="4" t="n">
        <f aca="false">F175^2*Dmax^2/(2*fs*H175)</f>
        <v>1.15714285714286E-005</v>
      </c>
      <c r="M175" s="1" t="n">
        <f aca="false">SQRT(2*fs*Lp*H175)/F175</f>
        <v>0.248897569293073</v>
      </c>
      <c r="N175" s="1" t="n">
        <f aca="false">F175*M175/(I175*(1-M175))</f>
        <v>0.0165688166565254</v>
      </c>
      <c r="O175" s="5" t="n">
        <f aca="false">SQRT(2*H175/(fs*Lp))</f>
        <v>28.1240191291608</v>
      </c>
      <c r="P175" s="1" t="n">
        <f aca="false">H175/(F175*eff)</f>
        <v>4.66666666666667</v>
      </c>
      <c r="Q175" s="1" t="n">
        <f aca="false">O175*SQRT(M175/3)</f>
        <v>8.10078461023222</v>
      </c>
      <c r="R175" s="1" t="n">
        <f aca="false">H175/I175</f>
        <v>0.175</v>
      </c>
      <c r="S175" s="1" t="n">
        <f aca="false">SQRT(2*R175*n*O175/3)</f>
        <v>0.406335978162654</v>
      </c>
      <c r="T175" s="4" t="n">
        <f aca="false">0.5*Lp*O175^2</f>
        <v>0.0014</v>
      </c>
      <c r="U175" s="1" t="n">
        <f aca="false">F175*M175/(n*I175)</f>
        <v>0.247311481204071</v>
      </c>
      <c r="V175" s="4" t="n">
        <f aca="false">(n*O175-R175)*U175/(fs*n*O175)</f>
        <v>4.33459993672791E-006</v>
      </c>
      <c r="W175" s="4" t="n">
        <f aca="false">(n*O175-R175)*V175/(2*Cout)</f>
        <v>0.268792741342918</v>
      </c>
      <c r="X175" s="4"/>
      <c r="Y175" s="4"/>
      <c r="Z175" s="15"/>
      <c r="AA175" s="1"/>
    </row>
    <row r="176" customFormat="false" ht="15" hidden="false" customHeight="false" outlineLevel="0" collapsed="false">
      <c r="E176" s="3" t="n">
        <v>174</v>
      </c>
      <c r="F176" s="15" t="n">
        <v>20</v>
      </c>
      <c r="G176" s="15" t="n">
        <v>70</v>
      </c>
      <c r="H176" s="15" t="n">
        <v>70</v>
      </c>
      <c r="I176" s="15" t="n">
        <v>550</v>
      </c>
      <c r="J176" s="15" t="n">
        <f aca="false">I176^2/H176</f>
        <v>4321.42857142857</v>
      </c>
      <c r="K176" s="5" t="n">
        <f aca="false">H176/eff</f>
        <v>93.3333333333333</v>
      </c>
      <c r="L176" s="4" t="n">
        <f aca="false">F176^2*Dmax^2/(2*fs*H176)</f>
        <v>1.15714285714286E-005</v>
      </c>
      <c r="M176" s="1" t="n">
        <f aca="false">SQRT(2*fs*Lp*H176)/F176</f>
        <v>0.248897569293073</v>
      </c>
      <c r="N176" s="1" t="n">
        <f aca="false">F176*M176/(I176*(1-M176))</f>
        <v>0.012050048477473</v>
      </c>
      <c r="O176" s="5" t="n">
        <f aca="false">SQRT(2*H176/(fs*Lp))</f>
        <v>28.1240191291608</v>
      </c>
      <c r="P176" s="1" t="n">
        <f aca="false">H176/(F176*eff)</f>
        <v>4.66666666666667</v>
      </c>
      <c r="Q176" s="1" t="n">
        <f aca="false">O176*SQRT(M176/3)</f>
        <v>8.10078461023222</v>
      </c>
      <c r="R176" s="1" t="n">
        <f aca="false">H176/I176</f>
        <v>0.127272727272727</v>
      </c>
      <c r="S176" s="1" t="n">
        <f aca="false">SQRT(2*R176*n*O176/3)</f>
        <v>0.346524486501342</v>
      </c>
      <c r="T176" s="4" t="n">
        <f aca="false">0.5*Lp*O176^2</f>
        <v>0.0014</v>
      </c>
      <c r="U176" s="1" t="n">
        <f aca="false">F176*M176/(n*I176)</f>
        <v>0.179862895421143</v>
      </c>
      <c r="V176" s="4" t="n">
        <f aca="false">(n*O176-R176)*U176/(fs*n*O176)</f>
        <v>3.27375129693008E-006</v>
      </c>
      <c r="W176" s="4" t="n">
        <f aca="false">(n*O176-R176)*V176/(2*Cout)</f>
        <v>0.210820850511391</v>
      </c>
      <c r="X176" s="4"/>
      <c r="Y176" s="4"/>
      <c r="Z176" s="15"/>
      <c r="AA176" s="1"/>
    </row>
    <row r="177" customFormat="false" ht="15" hidden="false" customHeight="false" outlineLevel="0" collapsed="false">
      <c r="E177" s="3" t="n">
        <v>70</v>
      </c>
      <c r="F177" s="15" t="n">
        <v>24</v>
      </c>
      <c r="G177" s="15" t="n">
        <v>70</v>
      </c>
      <c r="H177" s="15" t="n">
        <v>70</v>
      </c>
      <c r="I177" s="15" t="n">
        <v>170</v>
      </c>
      <c r="J177" s="15" t="n">
        <f aca="false">I177^2/H177</f>
        <v>412.857142857143</v>
      </c>
      <c r="K177" s="5" t="n">
        <f aca="false">H177/eff</f>
        <v>93.3333333333333</v>
      </c>
      <c r="L177" s="4" t="n">
        <f aca="false">F177^2*Dmax^2/(2*fs*H177)</f>
        <v>1.66628571428571E-005</v>
      </c>
      <c r="M177" s="1" t="n">
        <f aca="false">SQRT(2*fs*Lp*H177)/F177</f>
        <v>0.207414641077561</v>
      </c>
      <c r="N177" s="1" t="n">
        <f aca="false">F177*M177/(I177*(1-M177))</f>
        <v>0.0369450011232432</v>
      </c>
      <c r="O177" s="5" t="n">
        <f aca="false">SQRT(2*H177/(fs*Lp))</f>
        <v>28.1240191291608</v>
      </c>
      <c r="P177" s="1" t="n">
        <f aca="false">H177/(F177*eff)</f>
        <v>3.88888888888889</v>
      </c>
      <c r="Q177" s="1" t="n">
        <f aca="false">O177*SQRT(M177/3)</f>
        <v>7.39497077419147</v>
      </c>
      <c r="R177" s="1" t="n">
        <f aca="false">H177/I177</f>
        <v>0.411764705882353</v>
      </c>
      <c r="S177" s="1" t="n">
        <f aca="false">SQRT(2*R177*n*O177/3)</f>
        <v>0.62329093791961</v>
      </c>
      <c r="T177" s="4" t="n">
        <f aca="false">0.5*Lp*O177^2</f>
        <v>0.0014</v>
      </c>
      <c r="U177" s="1" t="n">
        <f aca="false">F177*M177/(n*I177)</f>
        <v>0.581909367538991</v>
      </c>
      <c r="V177" s="4" t="n">
        <f aca="false">(n*O177-R177)*U177/(fs*n*O177)</f>
        <v>8.25200223048354E-006</v>
      </c>
      <c r="W177" s="4" t="n">
        <f aca="false">(n*O177-R177)*V177/(2*Cout)</f>
        <v>0.414025508621049</v>
      </c>
      <c r="X177" s="4"/>
      <c r="Y177" s="4"/>
      <c r="Z177" s="15"/>
      <c r="AA177" s="1"/>
    </row>
    <row r="178" customFormat="false" ht="15" hidden="false" customHeight="false" outlineLevel="0" collapsed="false">
      <c r="E178" s="3" t="n">
        <v>105</v>
      </c>
      <c r="F178" s="15" t="n">
        <v>24</v>
      </c>
      <c r="G178" s="15" t="n">
        <v>70</v>
      </c>
      <c r="H178" s="15" t="n">
        <v>70</v>
      </c>
      <c r="I178" s="15" t="n">
        <v>250</v>
      </c>
      <c r="J178" s="15" t="n">
        <f aca="false">I178^2/H178</f>
        <v>892.857142857143</v>
      </c>
      <c r="K178" s="5" t="n">
        <f aca="false">H178/eff</f>
        <v>93.3333333333333</v>
      </c>
      <c r="L178" s="4" t="n">
        <f aca="false">F178^2*Dmax^2/(2*fs*H178)</f>
        <v>1.66628571428571E-005</v>
      </c>
      <c r="M178" s="1" t="n">
        <f aca="false">SQRT(2*fs*Lp*H178)/F178</f>
        <v>0.207414641077561</v>
      </c>
      <c r="N178" s="1" t="n">
        <f aca="false">F178*M178/(I178*(1-M178))</f>
        <v>0.0251226007638054</v>
      </c>
      <c r="O178" s="5" t="n">
        <f aca="false">SQRT(2*H178/(fs*Lp))</f>
        <v>28.1240191291608</v>
      </c>
      <c r="P178" s="1" t="n">
        <f aca="false">H178/(F178*eff)</f>
        <v>3.88888888888889</v>
      </c>
      <c r="Q178" s="1" t="n">
        <f aca="false">O178*SQRT(M178/3)</f>
        <v>7.39497077419147</v>
      </c>
      <c r="R178" s="1" t="n">
        <f aca="false">H178/I178</f>
        <v>0.28</v>
      </c>
      <c r="S178" s="1" t="n">
        <f aca="false">SQRT(2*R178*n*O178/3)</f>
        <v>0.513978874506571</v>
      </c>
      <c r="T178" s="4" t="n">
        <f aca="false">0.5*Lp*O178^2</f>
        <v>0.0014</v>
      </c>
      <c r="U178" s="1" t="n">
        <f aca="false">F178*M178/(n*I178)</f>
        <v>0.395698369926514</v>
      </c>
      <c r="V178" s="4" t="n">
        <f aca="false">(n*O178-R178)*U178/(fs*n*O178)</f>
        <v>6.34819539890527E-006</v>
      </c>
      <c r="W178" s="4" t="n">
        <f aca="false">(n*O178-R178)*V178/(2*Cout)</f>
        <v>0.360329720835902</v>
      </c>
      <c r="X178" s="4"/>
      <c r="Y178" s="4"/>
      <c r="Z178" s="15"/>
      <c r="AA178" s="1"/>
    </row>
    <row r="179" customFormat="false" ht="15" hidden="false" customHeight="false" outlineLevel="0" collapsed="false">
      <c r="Y179" s="4"/>
      <c r="Z179" s="15"/>
    </row>
  </sheetData>
  <autoFilter ref="E3:Z178">
    <sortState ref="E4:Z178">
      <sortCondition ref="A4:A178" customList=""/>
    </sortState>
  </autoFilter>
  <mergeCells count="2">
    <mergeCell ref="B3:C3"/>
    <mergeCell ref="B17:C17"/>
  </mergeCells>
  <conditionalFormatting sqref="N4:N178">
    <cfRule type="expression" priority="2" aboveAverage="0" equalAverage="0" bottom="0" percent="0" rank="0" text="" dxfId="53">
      <formula>N4&gt;n</formula>
    </cfRule>
  </conditionalFormatting>
  <conditionalFormatting sqref="L4:L178">
    <cfRule type="expression" priority="3" aboveAverage="0" equalAverage="0" bottom="0" percent="0" rank="0" text="" dxfId="54">
      <formula>L4&lt;Lp</formula>
    </cfRule>
  </conditionalFormatting>
  <conditionalFormatting sqref="M4:M178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4:O178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6796875" defaultRowHeight="15" zeroHeight="false" outlineLevelRow="0" outlineLevelCol="0"/>
  <cols>
    <col collapsed="false" customWidth="true" hidden="false" outlineLevel="0" max="7" min="7" style="0" width="5.5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0" min="10" style="0" width="3.71"/>
    <col collapsed="false" customWidth="true" hidden="false" outlineLevel="0" max="11" min="11" style="0" width="8.57"/>
    <col collapsed="false" customWidth="true" hidden="false" outlineLevel="0" max="12" min="12" style="0" width="12"/>
    <col collapsed="false" customWidth="true" hidden="false" outlineLevel="0" max="13" min="13" style="0" width="3.71"/>
    <col collapsed="false" customWidth="true" hidden="false" outlineLevel="0" max="14" min="14" style="0" width="8.57"/>
    <col collapsed="false" customWidth="true" hidden="false" outlineLevel="0" max="15" min="15" style="0" width="6"/>
    <col collapsed="false" customWidth="true" hidden="false" outlineLevel="0" max="16" min="16" style="0" width="12"/>
    <col collapsed="false" customWidth="true" hidden="false" outlineLevel="0" max="17" min="17" style="0" width="8.57"/>
    <col collapsed="false" customWidth="true" hidden="false" outlineLevel="0" max="18" min="18" style="0" width="7"/>
  </cols>
  <sheetData>
    <row r="2" customFormat="false" ht="15" hidden="false" customHeight="false" outlineLevel="0" collapsed="false">
      <c r="B2" s="32" t="s">
        <v>34</v>
      </c>
      <c r="D2" s="33" t="s">
        <v>35</v>
      </c>
    </row>
    <row r="3" customFormat="false" ht="15" hidden="false" customHeight="false" outlineLevel="0" collapsed="false">
      <c r="B3" s="0" t="s">
        <v>36</v>
      </c>
      <c r="D3" s="0" t="s">
        <v>37</v>
      </c>
      <c r="M3" s="3"/>
    </row>
    <row r="4" customFormat="false" ht="15" hidden="false" customHeight="false" outlineLevel="0" collapsed="false">
      <c r="M4" s="3"/>
    </row>
    <row r="5" customFormat="false" ht="15" hidden="false" customHeight="false" outlineLevel="0" collapsed="false">
      <c r="B5" s="32" t="s">
        <v>38</v>
      </c>
      <c r="M5" s="3"/>
    </row>
    <row r="6" customFormat="false" ht="15" hidden="false" customHeight="false" outlineLevel="0" collapsed="false">
      <c r="M6" s="3"/>
    </row>
    <row r="7" customFormat="false" ht="15" hidden="false" customHeight="false" outlineLevel="0" collapsed="false">
      <c r="B7" s="0" t="s">
        <v>39</v>
      </c>
      <c r="C7" s="34" t="n">
        <v>1E-005</v>
      </c>
      <c r="D7" s="34" t="n">
        <v>1E-005</v>
      </c>
      <c r="E7" s="34" t="n">
        <v>1E-005</v>
      </c>
      <c r="F7" s="34" t="n">
        <v>1E-005</v>
      </c>
      <c r="G7" s="35"/>
      <c r="H7" s="3" t="s">
        <v>40</v>
      </c>
      <c r="I7" s="3" t="s">
        <v>41</v>
      </c>
      <c r="K7" s="3" t="s">
        <v>40</v>
      </c>
      <c r="L7" s="3" t="s">
        <v>42</v>
      </c>
      <c r="M7" s="3"/>
      <c r="N7" s="3" t="s">
        <v>40</v>
      </c>
      <c r="O7" s="3" t="s">
        <v>43</v>
      </c>
      <c r="Q7" s="3" t="s">
        <v>40</v>
      </c>
      <c r="R7" s="3" t="s">
        <v>44</v>
      </c>
    </row>
    <row r="8" customFormat="false" ht="15" hidden="false" customHeight="false" outlineLevel="0" collapsed="false">
      <c r="B8" s="0" t="s">
        <v>45</v>
      </c>
      <c r="C8" s="3" t="n">
        <v>1</v>
      </c>
      <c r="D8" s="3" t="n">
        <v>1</v>
      </c>
      <c r="E8" s="3" t="n">
        <v>1</v>
      </c>
      <c r="F8" s="3" t="n">
        <v>1</v>
      </c>
      <c r="H8" s="1" t="n">
        <f aca="false">H9/100</f>
        <v>0.0111408460164327</v>
      </c>
      <c r="I8" s="15" t="n">
        <f aca="false">I9</f>
        <v>40</v>
      </c>
      <c r="K8" s="5" t="n">
        <f aca="false">K9/100</f>
        <v>3.18309886183791E-005</v>
      </c>
      <c r="L8" s="15" t="n">
        <f aca="false">L9</f>
        <v>53.9794000867204</v>
      </c>
      <c r="M8" s="3"/>
      <c r="N8" s="5" t="n">
        <f aca="false">N9/100</f>
        <v>0.000795774715459477</v>
      </c>
      <c r="O8" s="15" t="n">
        <f aca="false">O9</f>
        <v>40</v>
      </c>
      <c r="Q8" s="5" t="n">
        <f aca="false">Q9/100</f>
        <v>0.000445633840657307</v>
      </c>
      <c r="R8" s="15" t="n">
        <f aca="false">R9</f>
        <v>53.9794000867204</v>
      </c>
    </row>
    <row r="9" customFormat="false" ht="15" hidden="false" customHeight="false" outlineLevel="0" collapsed="false">
      <c r="B9" s="0" t="s">
        <v>46</v>
      </c>
      <c r="C9" s="3" t="n">
        <v>100</v>
      </c>
      <c r="D9" s="3" t="n">
        <v>500</v>
      </c>
      <c r="E9" s="3" t="n">
        <v>100</v>
      </c>
      <c r="F9" s="3" t="n">
        <v>500</v>
      </c>
      <c r="G9" s="6"/>
      <c r="H9" s="1" t="n">
        <f aca="false">H10/100</f>
        <v>1.11408460164327</v>
      </c>
      <c r="I9" s="15" t="n">
        <f aca="false">C18</f>
        <v>40</v>
      </c>
      <c r="K9" s="5" t="n">
        <f aca="false">K10/100</f>
        <v>0.00318309886183791</v>
      </c>
      <c r="L9" s="15" t="n">
        <f aca="false">D18</f>
        <v>53.9794000867204</v>
      </c>
      <c r="M9" s="3"/>
      <c r="N9" s="5" t="n">
        <f aca="false">N10/100</f>
        <v>0.0795774715459477</v>
      </c>
      <c r="O9" s="15" t="n">
        <f aca="false">E18</f>
        <v>40</v>
      </c>
      <c r="Q9" s="5" t="n">
        <f aca="false">Q10/100</f>
        <v>0.0445633840657307</v>
      </c>
      <c r="R9" s="1" t="n">
        <f aca="false">F18</f>
        <v>53.9794000867204</v>
      </c>
    </row>
    <row r="10" customFormat="false" ht="15" hidden="false" customHeight="false" outlineLevel="0" collapsed="false">
      <c r="B10" s="0" t="s">
        <v>47</v>
      </c>
      <c r="C10" s="3" t="n">
        <v>70</v>
      </c>
      <c r="D10" s="3" t="n">
        <v>5</v>
      </c>
      <c r="E10" s="3" t="n">
        <v>5</v>
      </c>
      <c r="F10" s="3" t="n">
        <v>70</v>
      </c>
      <c r="H10" s="1" t="n">
        <f aca="false">C15</f>
        <v>111.408460164327</v>
      </c>
      <c r="I10" s="15" t="n">
        <f aca="false">I9</f>
        <v>40</v>
      </c>
      <c r="K10" s="5" t="n">
        <f aca="false">D15</f>
        <v>0.318309886183791</v>
      </c>
      <c r="L10" s="15" t="n">
        <f aca="false">L9</f>
        <v>53.9794000867204</v>
      </c>
      <c r="M10" s="3"/>
      <c r="N10" s="5" t="n">
        <f aca="false">E15</f>
        <v>7.95774715459477</v>
      </c>
      <c r="O10" s="15" t="n">
        <f aca="false">O9</f>
        <v>40</v>
      </c>
      <c r="Q10" s="5" t="n">
        <f aca="false">F15</f>
        <v>4.45633840657307</v>
      </c>
      <c r="R10" s="15" t="n">
        <f aca="false">R9</f>
        <v>53.9794000867204</v>
      </c>
    </row>
    <row r="11" customFormat="false" ht="15" hidden="false" customHeight="false" outlineLevel="0" collapsed="false">
      <c r="B11" s="0" t="s">
        <v>48</v>
      </c>
      <c r="C11" s="15" t="n">
        <f aca="false">C9^2/C10</f>
        <v>142.857142857143</v>
      </c>
      <c r="D11" s="15" t="n">
        <f aca="false">D9^2/D10</f>
        <v>50000</v>
      </c>
      <c r="E11" s="15" t="n">
        <f aca="false">E9^2/E10</f>
        <v>2000</v>
      </c>
      <c r="F11" s="15" t="n">
        <f aca="false">F9^2/F10</f>
        <v>3571.42857142857</v>
      </c>
      <c r="H11" s="1" t="n">
        <f aca="false">H10*10</f>
        <v>1114.08460164327</v>
      </c>
      <c r="I11" s="15" t="n">
        <f aca="false">I10-20</f>
        <v>20</v>
      </c>
      <c r="K11" s="5" t="n">
        <f aca="false">K10*10</f>
        <v>3.18309886183791</v>
      </c>
      <c r="L11" s="15" t="n">
        <f aca="false">L10-20</f>
        <v>33.9794000867204</v>
      </c>
      <c r="M11" s="3"/>
      <c r="N11" s="5" t="n">
        <f aca="false">N10*10</f>
        <v>79.5774715459477</v>
      </c>
      <c r="O11" s="15" t="n">
        <f aca="false">O10-20</f>
        <v>20</v>
      </c>
      <c r="Q11" s="5" t="n">
        <f aca="false">Q10*10</f>
        <v>44.5633840657307</v>
      </c>
      <c r="R11" s="15" t="n">
        <f aca="false">R10-20</f>
        <v>33.9794000867204</v>
      </c>
    </row>
    <row r="12" customFormat="false" ht="15" hidden="false" customHeight="false" outlineLevel="0" collapsed="false">
      <c r="B12" s="0" t="s">
        <v>49</v>
      </c>
      <c r="C12" s="3" t="n">
        <f aca="false">C10/C9</f>
        <v>0.7</v>
      </c>
      <c r="D12" s="3" t="n">
        <f aca="false">D10/D9</f>
        <v>0.01</v>
      </c>
      <c r="E12" s="3" t="n">
        <f aca="false">E10/E9</f>
        <v>0.05</v>
      </c>
      <c r="F12" s="3" t="n">
        <f aca="false">F10/F9</f>
        <v>0.14</v>
      </c>
      <c r="H12" s="1" t="n">
        <f aca="false">H11*10</f>
        <v>11140.8460164327</v>
      </c>
      <c r="I12" s="15" t="n">
        <f aca="false">I11-20</f>
        <v>0</v>
      </c>
      <c r="K12" s="5" t="n">
        <f aca="false">K11*10</f>
        <v>31.8309886183791</v>
      </c>
      <c r="L12" s="15" t="n">
        <f aca="false">L11-20</f>
        <v>13.9794000867204</v>
      </c>
      <c r="M12" s="3"/>
      <c r="N12" s="5" t="n">
        <f aca="false">N11*10</f>
        <v>795.774715459477</v>
      </c>
      <c r="O12" s="15" t="n">
        <f aca="false">O11-20</f>
        <v>0</v>
      </c>
      <c r="Q12" s="5" t="n">
        <f aca="false">Q11*10</f>
        <v>445.633840657307</v>
      </c>
      <c r="R12" s="15" t="n">
        <f aca="false">R11-20</f>
        <v>13.9794000867204</v>
      </c>
    </row>
    <row r="13" customFormat="false" ht="15" hidden="false" customHeight="false" outlineLevel="0" collapsed="false">
      <c r="C13" s="3"/>
      <c r="D13" s="3"/>
      <c r="E13" s="3"/>
      <c r="F13" s="3"/>
      <c r="H13" s="1" t="n">
        <f aca="false">C16</f>
        <v>15915.4943091895</v>
      </c>
      <c r="I13" s="15" t="n">
        <v>-3</v>
      </c>
      <c r="K13" s="5" t="n">
        <f aca="false">K12*10</f>
        <v>318.309886183791</v>
      </c>
      <c r="L13" s="15" t="n">
        <f aca="false">L12-20</f>
        <v>-6.02059991327963</v>
      </c>
      <c r="M13" s="3"/>
      <c r="N13" s="5" t="n">
        <f aca="false">N12*10</f>
        <v>7957.74715459477</v>
      </c>
      <c r="O13" s="15" t="n">
        <f aca="false">O12-20</f>
        <v>-20</v>
      </c>
      <c r="Q13" s="5" t="n">
        <f aca="false">Q12*10</f>
        <v>4456.33840657307</v>
      </c>
      <c r="R13" s="15" t="n">
        <f aca="false">R12-20</f>
        <v>-6.02059991327963</v>
      </c>
    </row>
    <row r="14" customFormat="false" ht="15" hidden="false" customHeight="false" outlineLevel="0" collapsed="false">
      <c r="C14" s="3" t="n">
        <v>1</v>
      </c>
      <c r="D14" s="3" t="n">
        <v>2</v>
      </c>
      <c r="E14" s="3" t="n">
        <v>3</v>
      </c>
      <c r="F14" s="3" t="n">
        <v>4</v>
      </c>
      <c r="G14" s="6"/>
      <c r="H14" s="1" t="n">
        <f aca="false">H13*10</f>
        <v>159154.943091895</v>
      </c>
      <c r="I14" s="15" t="n">
        <f aca="false">I13</f>
        <v>-3</v>
      </c>
      <c r="K14" s="5" t="n">
        <f aca="false">K13*10</f>
        <v>3183.09886183791</v>
      </c>
      <c r="L14" s="15" t="n">
        <f aca="false">L13-20</f>
        <v>-26.0205999132796</v>
      </c>
      <c r="M14" s="3"/>
      <c r="N14" s="5" t="n">
        <f aca="false">E16</f>
        <v>15915.4943091895</v>
      </c>
      <c r="O14" s="15" t="n">
        <v>-26</v>
      </c>
      <c r="Q14" s="5" t="n">
        <f aca="false">F16</f>
        <v>15915.4943091895</v>
      </c>
      <c r="R14" s="15" t="n">
        <v>-16.7</v>
      </c>
    </row>
    <row r="15" customFormat="false" ht="15" hidden="false" customHeight="false" outlineLevel="0" collapsed="false">
      <c r="B15" s="0" t="s">
        <v>50</v>
      </c>
      <c r="C15" s="1" t="n">
        <f aca="false">1/(2*PI()*C7*C11)</f>
        <v>111.408460164327</v>
      </c>
      <c r="D15" s="1" t="n">
        <f aca="false">1/(2*PI()*D7*D11)</f>
        <v>0.318309886183791</v>
      </c>
      <c r="E15" s="1" t="n">
        <f aca="false">1/(2*PI()*E7*E11)</f>
        <v>7.95774715459477</v>
      </c>
      <c r="F15" s="1" t="n">
        <f aca="false">1/(2*PI()*F7*F11)</f>
        <v>4.45633840657307</v>
      </c>
      <c r="K15" s="5" t="n">
        <f aca="false">D16</f>
        <v>15915.4943091895</v>
      </c>
      <c r="L15" s="15" t="n">
        <v>-40</v>
      </c>
      <c r="M15" s="3"/>
      <c r="N15" s="5" t="n">
        <f aca="false">N14*10</f>
        <v>159154.943091895</v>
      </c>
      <c r="O15" s="15" t="n">
        <f aca="false">O14</f>
        <v>-26</v>
      </c>
      <c r="Q15" s="5" t="n">
        <f aca="false">Q14*10</f>
        <v>159154.943091895</v>
      </c>
      <c r="R15" s="15" t="n">
        <f aca="false">R14</f>
        <v>-16.7</v>
      </c>
    </row>
    <row r="16" customFormat="false" ht="15" hidden="false" customHeight="false" outlineLevel="0" collapsed="false">
      <c r="B16" s="0" t="s">
        <v>51</v>
      </c>
      <c r="C16" s="1" t="n">
        <f aca="false">1/(2*PI()*C7*C8)</f>
        <v>15915.4943091895</v>
      </c>
      <c r="D16" s="1" t="n">
        <f aca="false">1/(2*PI()*D7*D8)</f>
        <v>15915.4943091895</v>
      </c>
      <c r="E16" s="1" t="n">
        <f aca="false">1/(2*PI()*E7*E8)</f>
        <v>15915.4943091895</v>
      </c>
      <c r="F16" s="1" t="n">
        <f aca="false">1/(2*PI()*F7*F8)</f>
        <v>15915.4943091895</v>
      </c>
      <c r="K16" s="5" t="n">
        <f aca="false">K15*10</f>
        <v>159154.943091895</v>
      </c>
      <c r="L16" s="15" t="n">
        <f aca="false">L15</f>
        <v>-40</v>
      </c>
      <c r="M16" s="3"/>
      <c r="N16" s="3"/>
      <c r="O16" s="3"/>
    </row>
    <row r="17" customFormat="false" ht="15" hidden="false" customHeight="false" outlineLevel="0" collapsed="false">
      <c r="B17" s="0" t="s">
        <v>52</v>
      </c>
      <c r="C17" s="3" t="n">
        <f aca="false">C11*C12</f>
        <v>100</v>
      </c>
      <c r="D17" s="3" t="n">
        <f aca="false">D11*D12</f>
        <v>500</v>
      </c>
      <c r="E17" s="3" t="n">
        <f aca="false">E11*E12</f>
        <v>100</v>
      </c>
      <c r="F17" s="3" t="n">
        <f aca="false">F11*F12</f>
        <v>500</v>
      </c>
      <c r="M17" s="3"/>
      <c r="N17" s="3"/>
      <c r="O17" s="3"/>
    </row>
    <row r="18" customFormat="false" ht="15" hidden="false" customHeight="false" outlineLevel="0" collapsed="false">
      <c r="B18" s="0" t="s">
        <v>53</v>
      </c>
      <c r="C18" s="1" t="n">
        <f aca="false">20*LOG(C17)</f>
        <v>40</v>
      </c>
      <c r="D18" s="1" t="n">
        <f aca="false">20*LOG(D17)</f>
        <v>53.9794000867204</v>
      </c>
      <c r="E18" s="1" t="n">
        <f aca="false">20*LOG(E17)</f>
        <v>40</v>
      </c>
      <c r="F18" s="1" t="n">
        <f aca="false">20*LOG(F17)</f>
        <v>53.9794000867204</v>
      </c>
      <c r="G18" s="36"/>
      <c r="H18" s="36"/>
      <c r="M18" s="3"/>
    </row>
    <row r="19" customFormat="false" ht="15" hidden="false" customHeight="false" outlineLevel="0" collapsed="false">
      <c r="G19" s="36"/>
      <c r="H19" s="36"/>
      <c r="M19" s="3"/>
    </row>
    <row r="20" customFormat="false" ht="15" hidden="false" customHeight="false" outlineLevel="0" collapsed="false">
      <c r="M20" s="3"/>
    </row>
    <row r="21" customFormat="false" ht="15" hidden="false" customHeight="false" outlineLevel="0" collapsed="false">
      <c r="B21" s="32" t="s">
        <v>54</v>
      </c>
      <c r="M21" s="3"/>
    </row>
    <row r="22" customFormat="false" ht="15" hidden="false" customHeight="false" outlineLevel="0" collapsed="false">
      <c r="C22" s="3" t="s">
        <v>55</v>
      </c>
      <c r="D22" s="3" t="s">
        <v>56</v>
      </c>
      <c r="E22" s="3" t="s">
        <v>57</v>
      </c>
      <c r="H22" s="3" t="s">
        <v>40</v>
      </c>
      <c r="I22" s="3" t="s">
        <v>58</v>
      </c>
      <c r="J22" s="3"/>
      <c r="L22" s="3" t="s">
        <v>40</v>
      </c>
      <c r="M22" s="3" t="s">
        <v>59</v>
      </c>
      <c r="N22" s="3"/>
      <c r="P22" s="3" t="s">
        <v>40</v>
      </c>
      <c r="Q22" s="3" t="s">
        <v>60</v>
      </c>
      <c r="R22" s="3"/>
    </row>
    <row r="23" customFormat="false" ht="15" hidden="false" customHeight="false" outlineLevel="0" collapsed="false">
      <c r="B23" s="0" t="s">
        <v>61</v>
      </c>
      <c r="C23" s="3" t="n">
        <v>480000</v>
      </c>
      <c r="D23" s="3" t="n">
        <v>480000</v>
      </c>
      <c r="E23" s="3" t="n">
        <v>480000</v>
      </c>
      <c r="H23" s="3" t="n">
        <f aca="false">H24/100</f>
        <v>0.0106103295394597</v>
      </c>
      <c r="I23" s="15" t="n">
        <f aca="false">I24+40</f>
        <v>69.8970004336019</v>
      </c>
      <c r="J23" s="15" t="n">
        <f aca="false">-I23</f>
        <v>-69.8970004336019</v>
      </c>
      <c r="L23" s="3" t="n">
        <f aca="false">L24/100</f>
        <v>0.0106103295394597</v>
      </c>
      <c r="M23" s="15" t="n">
        <f aca="false">M24+40</f>
        <v>89.8970004336019</v>
      </c>
      <c r="N23" s="15" t="n">
        <f aca="false">-M23</f>
        <v>-89.8970004336019</v>
      </c>
      <c r="P23" s="3" t="n">
        <f aca="false">P24/100</f>
        <v>0.00159154943091895</v>
      </c>
      <c r="Q23" s="15" t="n">
        <f aca="false">Q24+40</f>
        <v>66.3751752524883</v>
      </c>
      <c r="R23" s="15" t="n">
        <f aca="false">-Q23</f>
        <v>-66.3751752524883</v>
      </c>
    </row>
    <row r="24" customFormat="false" ht="15" hidden="false" customHeight="false" outlineLevel="0" collapsed="false">
      <c r="B24" s="0" t="s">
        <v>62</v>
      </c>
      <c r="C24" s="4" t="n">
        <v>3200</v>
      </c>
      <c r="D24" s="4" t="n">
        <v>3200</v>
      </c>
      <c r="E24" s="4" t="n">
        <v>3200</v>
      </c>
      <c r="H24" s="37" t="n">
        <f aca="false">C31</f>
        <v>1.06103295394597</v>
      </c>
      <c r="I24" s="38" t="n">
        <f aca="false">C34</f>
        <v>29.8970004336019</v>
      </c>
      <c r="J24" s="15" t="n">
        <f aca="false">-I24</f>
        <v>-29.8970004336019</v>
      </c>
      <c r="L24" s="3" t="n">
        <f aca="false">L25/100</f>
        <v>1.06103295394597</v>
      </c>
      <c r="M24" s="15" t="n">
        <f aca="false">M25+40</f>
        <v>49.8970004336019</v>
      </c>
      <c r="N24" s="15" t="n">
        <f aca="false">-M24</f>
        <v>-49.8970004336019</v>
      </c>
      <c r="P24" s="3" t="n">
        <f aca="false">P25/100</f>
        <v>0.159154943091895</v>
      </c>
      <c r="Q24" s="15" t="n">
        <f aca="false">Q25+40</f>
        <v>26.3751752524883</v>
      </c>
      <c r="R24" s="15" t="n">
        <f aca="false">-Q24</f>
        <v>-26.3751752524883</v>
      </c>
    </row>
    <row r="25" customFormat="false" ht="15" hidden="false" customHeight="false" outlineLevel="0" collapsed="false">
      <c r="B25" s="0" t="s">
        <v>63</v>
      </c>
      <c r="C25" s="4" t="n">
        <f aca="false">1/(1/C23+1/C24)</f>
        <v>3178.80794701987</v>
      </c>
      <c r="D25" s="4" t="n">
        <f aca="false">1/(1/D23+1/D24)</f>
        <v>3178.80794701987</v>
      </c>
      <c r="E25" s="4" t="n">
        <f aca="false">1/(1/E23+1/E24)</f>
        <v>3178.80794701987</v>
      </c>
      <c r="H25" s="37" t="n">
        <f aca="false">C32</f>
        <v>15915.5102246998</v>
      </c>
      <c r="I25" s="15" t="n">
        <f aca="false">I24</f>
        <v>29.8970004336019</v>
      </c>
      <c r="J25" s="15" t="n">
        <f aca="false">-I25</f>
        <v>-29.8970004336019</v>
      </c>
      <c r="L25" s="37" t="n">
        <f aca="false">D31</f>
        <v>106.103295394597</v>
      </c>
      <c r="M25" s="38" t="n">
        <f aca="false">D34</f>
        <v>9.89700043360188</v>
      </c>
      <c r="N25" s="15" t="n">
        <f aca="false">-M25</f>
        <v>-9.89700043360188</v>
      </c>
      <c r="P25" s="37" t="n">
        <f aca="false">E31</f>
        <v>15.9154943091895</v>
      </c>
      <c r="Q25" s="38" t="n">
        <f aca="false">E34</f>
        <v>-13.6248247475117</v>
      </c>
      <c r="R25" s="15" t="n">
        <f aca="false">-Q25</f>
        <v>13.6248247475117</v>
      </c>
    </row>
    <row r="26" customFormat="false" ht="15" hidden="false" customHeight="false" outlineLevel="0" collapsed="false">
      <c r="B26" s="0" t="s">
        <v>64</v>
      </c>
      <c r="C26" s="39" t="n">
        <f aca="false">C24/(C24+C23)</f>
        <v>0.00662251655629139</v>
      </c>
      <c r="D26" s="39" t="n">
        <f aca="false">D24/(D24+D23)</f>
        <v>0.00662251655629139</v>
      </c>
      <c r="E26" s="39" t="n">
        <f aca="false">E24/(E24+E23)</f>
        <v>0.00662251655629139</v>
      </c>
      <c r="H26" s="3" t="n">
        <f aca="false">H25*100</f>
        <v>1591551.02246998</v>
      </c>
      <c r="I26" s="15" t="n">
        <f aca="false">I25-40</f>
        <v>-10.1029995663981</v>
      </c>
      <c r="J26" s="15" t="n">
        <f aca="false">-I26</f>
        <v>10.1029995663981</v>
      </c>
      <c r="L26" s="38" t="n">
        <f aca="false">D32</f>
        <v>15915.5102246998</v>
      </c>
      <c r="M26" s="15" t="n">
        <f aca="false">M25</f>
        <v>9.89700043360188</v>
      </c>
      <c r="N26" s="15" t="n">
        <f aca="false">-M26</f>
        <v>-9.89700043360188</v>
      </c>
      <c r="P26" s="38" t="n">
        <f aca="false">E32</f>
        <v>15915.4943091895</v>
      </c>
      <c r="Q26" s="15" t="n">
        <f aca="false">Q25</f>
        <v>-13.6248247475117</v>
      </c>
      <c r="R26" s="15" t="n">
        <f aca="false">-Q26</f>
        <v>13.6248247475117</v>
      </c>
    </row>
    <row r="27" customFormat="false" ht="15" hidden="false" customHeight="false" outlineLevel="0" collapsed="false">
      <c r="B27" s="0" t="s">
        <v>65</v>
      </c>
      <c r="C27" s="4" t="n">
        <v>6.66666E-013</v>
      </c>
      <c r="D27" s="4" t="n">
        <v>6.66666E-012</v>
      </c>
      <c r="E27" s="4" t="n">
        <v>1E-010</v>
      </c>
      <c r="H27" s="3"/>
      <c r="I27" s="3"/>
      <c r="J27" s="3"/>
      <c r="L27" s="3" t="n">
        <f aca="false">L26*100</f>
        <v>1591551.02246998</v>
      </c>
      <c r="M27" s="15" t="n">
        <f aca="false">M26-40</f>
        <v>-30.1029995663981</v>
      </c>
      <c r="N27" s="15" t="n">
        <f aca="false">-M27</f>
        <v>30.1029995663981</v>
      </c>
      <c r="P27" s="3" t="n">
        <f aca="false">P26*100</f>
        <v>1591549.43091895</v>
      </c>
      <c r="Q27" s="15" t="n">
        <f aca="false">Q26-40</f>
        <v>-53.6248247475117</v>
      </c>
      <c r="R27" s="15" t="n">
        <f aca="false">-Q27</f>
        <v>53.6248247475117</v>
      </c>
    </row>
    <row r="28" customFormat="false" ht="15" hidden="false" customHeight="false" outlineLevel="0" collapsed="false">
      <c r="B28" s="0" t="s">
        <v>66</v>
      </c>
      <c r="C28" s="4" t="n">
        <v>1E-008</v>
      </c>
      <c r="D28" s="4" t="n">
        <v>1E-009</v>
      </c>
      <c r="E28" s="4" t="n">
        <v>1E-007</v>
      </c>
      <c r="L28" s="3" t="n">
        <f aca="false">L27*100</f>
        <v>159155102.246998</v>
      </c>
      <c r="M28" s="15" t="n">
        <f aca="false">M27-40</f>
        <v>-70.1029995663981</v>
      </c>
      <c r="N28" s="15" t="n">
        <f aca="false">-M28</f>
        <v>70.1029995663981</v>
      </c>
      <c r="P28" s="3" t="n">
        <f aca="false">P27*100</f>
        <v>159154943.091895</v>
      </c>
      <c r="Q28" s="15" t="n">
        <f aca="false">Q27-40</f>
        <v>-93.6248247475118</v>
      </c>
      <c r="R28" s="15" t="n">
        <f aca="false">-Q28</f>
        <v>93.6248247475118</v>
      </c>
    </row>
    <row r="29" customFormat="false" ht="15" hidden="false" customHeight="false" outlineLevel="0" collapsed="false">
      <c r="B29" s="0" t="s">
        <v>67</v>
      </c>
      <c r="C29" s="4" t="n">
        <v>15000000</v>
      </c>
      <c r="D29" s="4" t="n">
        <v>1500000</v>
      </c>
      <c r="E29" s="4" t="n">
        <v>100000</v>
      </c>
      <c r="L29" s="3"/>
      <c r="M29" s="3"/>
      <c r="N29" s="3"/>
    </row>
    <row r="30" customFormat="false" ht="15" hidden="false" customHeight="false" outlineLevel="0" collapsed="false">
      <c r="C30" s="3"/>
      <c r="D30" s="3"/>
      <c r="E30" s="1"/>
    </row>
    <row r="31" customFormat="false" ht="15" hidden="false" customHeight="false" outlineLevel="0" collapsed="false">
      <c r="B31" s="0" t="s">
        <v>68</v>
      </c>
      <c r="C31" s="1" t="n">
        <f aca="false">1/(2*PI()*C29*C28)</f>
        <v>1.06103295394597</v>
      </c>
      <c r="D31" s="1" t="n">
        <f aca="false">1/(2*PI()*D29*D28)</f>
        <v>106.103295394597</v>
      </c>
      <c r="E31" s="1" t="n">
        <f aca="false">1/(2*PI()*E29*E28)</f>
        <v>15.9154943091895</v>
      </c>
    </row>
    <row r="32" customFormat="false" ht="15" hidden="false" customHeight="false" outlineLevel="0" collapsed="false">
      <c r="B32" s="0" t="s">
        <v>50</v>
      </c>
      <c r="C32" s="15" t="n">
        <f aca="false">1/(2*PI()*C29*C27)</f>
        <v>15915.5102246998</v>
      </c>
      <c r="D32" s="15" t="n">
        <f aca="false">1/(2*PI()*D29*D27)</f>
        <v>15915.5102246998</v>
      </c>
      <c r="E32" s="15" t="n">
        <f aca="false">1/(2*PI()*E29*E27)</f>
        <v>15915.4943091895</v>
      </c>
      <c r="P32" s="3"/>
    </row>
    <row r="33" customFormat="false" ht="15" hidden="false" customHeight="false" outlineLevel="0" collapsed="false">
      <c r="B33" s="0" t="s">
        <v>69</v>
      </c>
      <c r="C33" s="1" t="n">
        <f aca="false">C29/C25*C26</f>
        <v>31.25</v>
      </c>
      <c r="D33" s="1" t="n">
        <f aca="false">D29/D25*D26</f>
        <v>3.125</v>
      </c>
      <c r="E33" s="1" t="n">
        <f aca="false">E29/E25*E26</f>
        <v>0.208333333333333</v>
      </c>
      <c r="P33" s="3"/>
    </row>
    <row r="34" customFormat="false" ht="15" hidden="false" customHeight="false" outlineLevel="0" collapsed="false">
      <c r="B34" s="0" t="s">
        <v>53</v>
      </c>
      <c r="C34" s="1" t="n">
        <f aca="false">20*LOG(C33)</f>
        <v>29.8970004336019</v>
      </c>
      <c r="D34" s="1" t="n">
        <f aca="false">20*LOG(D33)</f>
        <v>9.89700043360188</v>
      </c>
      <c r="E34" s="1" t="n">
        <f aca="false">20*LOG(E33)</f>
        <v>-13.6248247475117</v>
      </c>
      <c r="P34" s="3"/>
    </row>
    <row r="35" customFormat="false" ht="15" hidden="false" customHeight="false" outlineLevel="0" collapsed="false">
      <c r="P35" s="3"/>
      <c r="Q35" s="3"/>
      <c r="R35" s="3"/>
      <c r="S35" s="3"/>
    </row>
    <row r="42" customFormat="false" ht="15" hidden="false" customHeight="false" outlineLevel="0" collapsed="false">
      <c r="S42" s="0" t="n">
        <f aca="false">270/3</f>
        <v>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R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5.14"/>
    <col collapsed="false" customWidth="true" hidden="false" outlineLevel="0" max="4" min="3" style="3" width="13"/>
    <col collapsed="false" customWidth="true" hidden="false" outlineLevel="0" max="5" min="5" style="3" width="16.43"/>
  </cols>
  <sheetData>
    <row r="3" customFormat="false" ht="15" hidden="false" customHeight="false" outlineLevel="0" collapsed="false">
      <c r="A3" s="40"/>
      <c r="B3" s="41" t="s">
        <v>70</v>
      </c>
      <c r="C3" s="42" t="s">
        <v>71</v>
      </c>
      <c r="D3" s="42" t="s">
        <v>71</v>
      </c>
      <c r="E3" s="43" t="s">
        <v>72</v>
      </c>
      <c r="F3" s="44"/>
      <c r="G3" s="40"/>
      <c r="H3" s="40"/>
      <c r="I3" s="40"/>
      <c r="J3" s="40"/>
      <c r="K3" s="44"/>
      <c r="L3" s="44"/>
      <c r="M3" s="44"/>
      <c r="N3" s="44"/>
      <c r="O3" s="44"/>
      <c r="P3" s="44"/>
      <c r="Q3" s="44"/>
      <c r="R3" s="44"/>
    </row>
    <row r="4" customFormat="false" ht="15" hidden="false" customHeight="false" outlineLevel="0" collapsed="false">
      <c r="B4" s="41" t="s">
        <v>73</v>
      </c>
      <c r="C4" s="42" t="n">
        <v>1.02</v>
      </c>
      <c r="D4" s="42" t="n">
        <v>2.527</v>
      </c>
      <c r="E4" s="42" t="n">
        <v>1.02</v>
      </c>
      <c r="F4" s="1"/>
      <c r="K4" s="1"/>
      <c r="L4" s="1"/>
      <c r="M4" s="1"/>
      <c r="N4" s="1"/>
      <c r="O4" s="1"/>
      <c r="P4" s="1"/>
      <c r="Q4" s="1"/>
      <c r="R4" s="1"/>
    </row>
    <row r="5" customFormat="false" ht="15" hidden="false" customHeight="false" outlineLevel="0" collapsed="false">
      <c r="B5" s="41" t="s">
        <v>74</v>
      </c>
      <c r="C5" s="42" t="n">
        <v>7.6</v>
      </c>
      <c r="D5" s="42" t="n">
        <v>18.9</v>
      </c>
      <c r="E5" s="42" t="n">
        <v>475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customFormat="false" ht="15" hidden="false" customHeight="false" outlineLevel="0" collapsed="false">
      <c r="B6" s="45" t="s">
        <v>75</v>
      </c>
      <c r="C6" s="46" t="n">
        <f aca="false">C5/C4</f>
        <v>7.45098039215686</v>
      </c>
      <c r="D6" s="46" t="n">
        <f aca="false">D5/D4</f>
        <v>7.4792243767313</v>
      </c>
      <c r="E6" s="46" t="n">
        <f aca="false">E5/E4</f>
        <v>465.686274509804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8" customFormat="false" ht="15" hidden="false" customHeight="false" outlineLevel="0" collapsed="false">
      <c r="B8" s="32" t="s">
        <v>76</v>
      </c>
      <c r="C8" s="1" t="n">
        <v>49.92</v>
      </c>
      <c r="D8" s="1" t="n">
        <v>59.784</v>
      </c>
      <c r="E8" s="1" t="n">
        <v>69.911</v>
      </c>
      <c r="F8" s="1" t="n">
        <v>80</v>
      </c>
      <c r="G8" s="1" t="n">
        <v>89.82</v>
      </c>
      <c r="H8" s="1" t="n">
        <v>100</v>
      </c>
      <c r="I8" s="1" t="n">
        <v>110.02</v>
      </c>
      <c r="J8" s="1" t="n">
        <v>119.93</v>
      </c>
      <c r="K8" s="1" t="n">
        <v>130.21</v>
      </c>
      <c r="L8" s="1" t="n">
        <v>140.1</v>
      </c>
      <c r="M8" s="1" t="n">
        <v>149.97</v>
      </c>
      <c r="N8" s="1" t="n">
        <v>160.31</v>
      </c>
      <c r="O8" s="1" t="n">
        <v>169.87</v>
      </c>
      <c r="P8" s="1" t="n">
        <v>179.79</v>
      </c>
      <c r="Q8" s="1" t="n">
        <v>189.9</v>
      </c>
      <c r="R8" s="1" t="n">
        <v>199.96</v>
      </c>
    </row>
    <row r="9" customFormat="false" ht="15" hidden="false" customHeight="false" outlineLevel="0" collapsed="false">
      <c r="B9" s="32" t="s">
        <v>77</v>
      </c>
      <c r="C9" s="1" t="n">
        <v>0.05489</v>
      </c>
      <c r="D9" s="1" t="n">
        <v>0.06603</v>
      </c>
      <c r="E9" s="1" t="n">
        <v>0.07743</v>
      </c>
      <c r="F9" s="1" t="n">
        <v>0.08845</v>
      </c>
      <c r="G9" s="1" t="n">
        <v>0.10001</v>
      </c>
      <c r="H9" s="1" t="n">
        <v>0.11064</v>
      </c>
      <c r="I9" s="1" t="n">
        <v>0.12247</v>
      </c>
      <c r="J9" s="1" t="n">
        <v>0.13466</v>
      </c>
      <c r="K9" s="1" t="n">
        <v>0.14715</v>
      </c>
      <c r="L9" s="1" t="n">
        <v>0.15998</v>
      </c>
      <c r="M9" s="1" t="n">
        <v>0.17326</v>
      </c>
      <c r="N9" s="1" t="n">
        <v>0.18702</v>
      </c>
      <c r="O9" s="1" t="n">
        <v>0.20141</v>
      </c>
      <c r="P9" s="1" t="n">
        <v>0.21648</v>
      </c>
      <c r="Q9" s="1" t="n">
        <v>0.23207</v>
      </c>
      <c r="R9" s="1" t="n">
        <v>0.24841</v>
      </c>
    </row>
    <row r="10" customFormat="false" ht="15" hidden="false" customHeight="false" outlineLevel="0" collapsed="false">
      <c r="B10" s="32" t="s">
        <v>78</v>
      </c>
      <c r="C10" s="1" t="n">
        <v>1.0255</v>
      </c>
      <c r="D10" s="1" t="n">
        <v>1.2341</v>
      </c>
      <c r="E10" s="1" t="n">
        <v>1.4458</v>
      </c>
      <c r="F10" s="1" t="n">
        <v>1.6537</v>
      </c>
      <c r="G10" s="1" t="n">
        <v>1.8705</v>
      </c>
      <c r="H10" s="1" t="n">
        <v>2.0888</v>
      </c>
      <c r="I10" s="1" t="n">
        <v>2.3152</v>
      </c>
      <c r="J10" s="1" t="n">
        <v>2.5482</v>
      </c>
      <c r="K10" s="1" t="n">
        <v>2.7857</v>
      </c>
      <c r="L10" s="1" t="n">
        <v>3.0339</v>
      </c>
      <c r="M10" s="1" t="n">
        <v>3.2879</v>
      </c>
      <c r="N10" s="1" t="n">
        <v>3.551</v>
      </c>
      <c r="O10" s="1" t="n">
        <v>3.8261</v>
      </c>
      <c r="P10" s="1" t="n">
        <v>4.1135</v>
      </c>
      <c r="Q10" s="1" t="n">
        <v>4.417</v>
      </c>
      <c r="R10" s="1" t="n">
        <v>4.73</v>
      </c>
    </row>
    <row r="11" customFormat="false" ht="15" hidden="false" customHeight="false" outlineLevel="0" collapsed="false">
      <c r="B11" s="32" t="s">
        <v>79</v>
      </c>
      <c r="C11" s="1" t="n">
        <f aca="false">C10/C9</f>
        <v>18.6828201858262</v>
      </c>
      <c r="D11" s="1" t="n">
        <f aca="false">D10/D9</f>
        <v>18.6899893987581</v>
      </c>
      <c r="E11" s="1" t="n">
        <f aca="false">E10/E9</f>
        <v>18.6723492186491</v>
      </c>
      <c r="F11" s="1" t="n">
        <f aca="false">F10/F9</f>
        <v>18.6964386659129</v>
      </c>
      <c r="G11" s="1" t="n">
        <f aca="false">G10/G9</f>
        <v>18.7031296870313</v>
      </c>
      <c r="H11" s="1" t="n">
        <f aca="false">H10/H9</f>
        <v>18.8792480115691</v>
      </c>
      <c r="I11" s="1" t="n">
        <f aca="false">I10/I9</f>
        <v>18.9042214419858</v>
      </c>
      <c r="J11" s="1" t="n">
        <f aca="false">J10/J9</f>
        <v>18.9232140204961</v>
      </c>
      <c r="K11" s="1" t="n">
        <f aca="false">K10/K9</f>
        <v>18.9310227658852</v>
      </c>
      <c r="L11" s="1" t="n">
        <f aca="false">L10/L9</f>
        <v>18.9642455306913</v>
      </c>
      <c r="M11" s="1" t="n">
        <f aca="false">M10/M9</f>
        <v>18.9766824425719</v>
      </c>
      <c r="N11" s="1" t="n">
        <f aca="false">N10/N9</f>
        <v>18.9872740883328</v>
      </c>
      <c r="O11" s="1" t="n">
        <f aca="false">O10/O9</f>
        <v>18.9965741522268</v>
      </c>
      <c r="P11" s="1" t="n">
        <f aca="false">P10/P9</f>
        <v>19.0017553584627</v>
      </c>
      <c r="Q11" s="1" t="n">
        <f aca="false">Q10/Q9</f>
        <v>19.0330503727324</v>
      </c>
      <c r="R11" s="1" t="n">
        <f aca="false">R10/R9</f>
        <v>19.0411014049354</v>
      </c>
    </row>
    <row r="32" customFormat="false" ht="15" hidden="false" customHeight="false" outlineLevel="0" collapsed="false">
      <c r="B32" s="32" t="s">
        <v>80</v>
      </c>
      <c r="E32" s="47"/>
      <c r="F32" s="1"/>
    </row>
    <row r="33" customFormat="false" ht="15" hidden="false" customHeight="false" outlineLevel="0" collapsed="false">
      <c r="F33" s="1"/>
    </row>
    <row r="34" customFormat="false" ht="15" hidden="false" customHeight="false" outlineLevel="0" collapsed="false">
      <c r="F34" s="1"/>
    </row>
    <row r="35" customFormat="false" ht="15" hidden="false" customHeight="false" outlineLevel="0" collapsed="false">
      <c r="E35" s="47"/>
      <c r="F35" s="5"/>
    </row>
    <row r="38" customFormat="false" ht="15" hidden="false" customHeight="false" outlineLevel="0" collapsed="false">
      <c r="B38" s="48" t="s">
        <v>81</v>
      </c>
      <c r="C38" s="48" t="s">
        <v>82</v>
      </c>
      <c r="D38" s="48" t="s">
        <v>83</v>
      </c>
      <c r="E38" s="48" t="s">
        <v>84</v>
      </c>
      <c r="F38" s="48" t="s">
        <v>70</v>
      </c>
      <c r="G38" s="48" t="s">
        <v>85</v>
      </c>
      <c r="H38" s="48" t="s">
        <v>86</v>
      </c>
      <c r="I38" s="49" t="s">
        <v>87</v>
      </c>
    </row>
    <row r="39" customFormat="false" ht="15" hidden="false" customHeight="false" outlineLevel="0" collapsed="false">
      <c r="B39" s="1" t="n">
        <f aca="false">AVERAGE(C6:D6)</f>
        <v>7.46510238444408</v>
      </c>
      <c r="C39" s="3" t="n">
        <v>0.085</v>
      </c>
      <c r="D39" s="3" t="n">
        <v>267</v>
      </c>
      <c r="E39" s="1" t="n">
        <f aca="false">1000000*(1/(0.000001*C39)+SQRT(1/(0.000001*C39)^2-8*(PI()*1000*D39)^2*(B39*0.001)^4))/(8*(PI()*1000*D39)^2)</f>
        <v>4.18021688186935</v>
      </c>
      <c r="F39" s="3" t="s">
        <v>88</v>
      </c>
      <c r="G39" s="3"/>
      <c r="H39" s="3"/>
      <c r="I39" s="3"/>
    </row>
    <row r="40" customFormat="false" ht="15" hidden="false" customHeight="false" outlineLevel="0" collapsed="false">
      <c r="B40" s="1" t="n">
        <f aca="false">B39</f>
        <v>7.46510238444408</v>
      </c>
      <c r="C40" s="3" t="n">
        <v>0.88</v>
      </c>
      <c r="D40" s="3" t="n">
        <v>90</v>
      </c>
      <c r="E40" s="1" t="n">
        <f aca="false">1000000*(1/(0.000001*C40)+SQRT(1/(0.000001*C40)^2-8*(PI()*1000*D40)^2*(B40*0.001)^4))/(8*(PI()*1000*D40)^2)</f>
        <v>3.55363298272227</v>
      </c>
      <c r="F40" s="3" t="s">
        <v>88</v>
      </c>
      <c r="G40" s="1" t="n">
        <f aca="false">AVERAGE(E39:E41)</f>
        <v>3.75482150048108</v>
      </c>
      <c r="H40" s="3"/>
      <c r="I40" s="3"/>
    </row>
    <row r="41" customFormat="false" ht="15" hidden="false" customHeight="false" outlineLevel="0" collapsed="false">
      <c r="B41" s="1" t="n">
        <f aca="false">B39</f>
        <v>7.46510238444408</v>
      </c>
      <c r="C41" s="3" t="n">
        <v>5</v>
      </c>
      <c r="D41" s="3" t="n">
        <v>37.88</v>
      </c>
      <c r="E41" s="1" t="n">
        <f aca="false">1000000*(1/(0.000001*C41)+SQRT(1/(0.000001*C41)^2-8*(PI()*1000*D41)^2*(B41*0.001)^4))/(8*(PI()*1000*D41)^2)</f>
        <v>3.53061463685163</v>
      </c>
      <c r="F41" s="3" t="s">
        <v>88</v>
      </c>
      <c r="G41" s="1" t="n">
        <f aca="false">AVERAGE(E40:E41)</f>
        <v>3.54212380978695</v>
      </c>
      <c r="H41" s="3"/>
      <c r="I41" s="3"/>
    </row>
    <row r="42" customFormat="false" ht="15" hidden="false" customHeight="false" outlineLevel="0" collapsed="false">
      <c r="B42" s="1" t="n">
        <f aca="false">E6</f>
        <v>465.686274509804</v>
      </c>
      <c r="C42" s="3" t="n">
        <v>5</v>
      </c>
      <c r="D42" s="3" t="n">
        <v>1.953</v>
      </c>
      <c r="E42" s="1" t="n">
        <f aca="false">1000000*(1/(0.000001*C42)+SQRT(1/(0.000001*C42)^2-8*(PI()*1000*D42)^2*(B42*0.001)^4))/(8*(PI()*1000*D42)^2)</f>
        <v>1328.08943821805</v>
      </c>
      <c r="F42" s="3" t="s">
        <v>89</v>
      </c>
      <c r="G42" s="3"/>
      <c r="H42" s="3"/>
      <c r="I42" s="3"/>
    </row>
    <row r="43" customFormat="false" ht="15" hidden="false" customHeight="false" outlineLevel="0" collapsed="false">
      <c r="B43" s="1" t="n">
        <f aca="false">B42</f>
        <v>465.686274509804</v>
      </c>
      <c r="C43" s="3" t="n">
        <v>0.085</v>
      </c>
      <c r="D43" s="3" t="n">
        <v>14.28</v>
      </c>
      <c r="E43" s="1" t="n">
        <f aca="false">1000000*(1/(0.000001*C43)+SQRT(1/(0.000001*C43)^2-8*(PI()*1000*D43)^2*(B43*0.001)^4))/(8*(PI()*1000*D43)^2)</f>
        <v>1461.38393452767</v>
      </c>
      <c r="F43" s="3" t="s">
        <v>89</v>
      </c>
      <c r="G43" s="1" t="n">
        <f aca="false">AVERAGE(E42:E44)</f>
        <v>1411.30832786139</v>
      </c>
      <c r="H43" s="1" t="n">
        <f aca="false">G43/G40</f>
        <v>375.865624419316</v>
      </c>
      <c r="I43" s="1" t="n">
        <f aca="false">SQRT(H43)</f>
        <v>19.3872541743104</v>
      </c>
    </row>
    <row r="44" customFormat="false" ht="15" hidden="false" customHeight="false" outlineLevel="0" collapsed="false">
      <c r="B44" s="1" t="n">
        <f aca="false">B42</f>
        <v>465.686274509804</v>
      </c>
      <c r="C44" s="3" t="n">
        <v>0.88</v>
      </c>
      <c r="D44" s="3" t="n">
        <v>4.464</v>
      </c>
      <c r="E44" s="1" t="n">
        <f aca="false">1000000*(1/(0.000001*C44)+SQRT(1/(0.000001*C44)^2-8*(PI()*1000*D44)^2*(B44*0.001)^4))/(8*(PI()*1000*D44)^2)</f>
        <v>1444.45161083846</v>
      </c>
      <c r="F44" s="3" t="s">
        <v>89</v>
      </c>
      <c r="G44" s="1" t="n">
        <f aca="false">AVERAGE(E43:E44)</f>
        <v>1452.91777268307</v>
      </c>
      <c r="H44" s="1" t="n">
        <f aca="false">G44/G41</f>
        <v>410.182661788567</v>
      </c>
      <c r="I44" s="1" t="n">
        <f aca="false">SQRT(H44)</f>
        <v>20.2529667404202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R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5" style="0" width="9.57"/>
  </cols>
  <sheetData>
    <row r="3" customFormat="false" ht="15" hidden="false" customHeight="false" outlineLevel="0" collapsed="false">
      <c r="B3" s="0" t="s">
        <v>88</v>
      </c>
      <c r="E3" s="3" t="s">
        <v>90</v>
      </c>
      <c r="F3" s="3" t="s">
        <v>91</v>
      </c>
      <c r="H3" s="0" t="s">
        <v>92</v>
      </c>
      <c r="M3" s="0" t="s">
        <v>93</v>
      </c>
    </row>
    <row r="4" customFormat="false" ht="15" hidden="false" customHeight="false" outlineLevel="0" collapsed="false">
      <c r="B4" s="0" t="s">
        <v>94</v>
      </c>
      <c r="E4" s="47" t="n">
        <f aca="false">0.0076/1.02</f>
        <v>0.00745098039215686</v>
      </c>
      <c r="F4" s="1" t="n">
        <f aca="false">1000*E4</f>
        <v>7.45098039215686</v>
      </c>
    </row>
    <row r="5" customFormat="false" ht="15" hidden="false" customHeight="false" outlineLevel="0" collapsed="false">
      <c r="B5" s="0" t="s">
        <v>95</v>
      </c>
      <c r="E5" s="47" t="n">
        <f aca="false">0.0189/2.527</f>
        <v>0.0074792243767313</v>
      </c>
      <c r="F5" s="1" t="n">
        <f aca="false">1000*E5</f>
        <v>7.4792243767313</v>
      </c>
    </row>
    <row r="6" customFormat="false" ht="15" hidden="false" customHeight="false" outlineLevel="0" collapsed="false">
      <c r="E6" s="3"/>
      <c r="F6" s="1"/>
    </row>
    <row r="7" customFormat="false" ht="15" hidden="false" customHeight="false" outlineLevel="0" collapsed="false">
      <c r="B7" s="0" t="s">
        <v>89</v>
      </c>
      <c r="E7" s="3"/>
      <c r="F7" s="1"/>
    </row>
    <row r="8" customFormat="false" ht="15" hidden="false" customHeight="false" outlineLevel="0" collapsed="false">
      <c r="B8" s="0" t="s">
        <v>96</v>
      </c>
      <c r="E8" s="47" t="n">
        <f aca="false">0.475/1.02</f>
        <v>0.465686274509804</v>
      </c>
      <c r="F8" s="5" t="n">
        <f aca="false">1000*E8</f>
        <v>465.686274509804</v>
      </c>
    </row>
    <row r="13" customFormat="false" ht="15" hidden="false" customHeight="false" outlineLevel="0" collapsed="false">
      <c r="B13" s="3" t="s">
        <v>97</v>
      </c>
      <c r="C13" s="3" t="s">
        <v>98</v>
      </c>
      <c r="D13" s="3" t="s">
        <v>99</v>
      </c>
      <c r="E13" s="3"/>
      <c r="F13" s="3" t="s">
        <v>100</v>
      </c>
      <c r="G13" s="3" t="s">
        <v>101</v>
      </c>
      <c r="H13" s="3" t="s">
        <v>102</v>
      </c>
      <c r="I13" s="3" t="s">
        <v>103</v>
      </c>
      <c r="J13" s="3" t="s">
        <v>70</v>
      </c>
      <c r="K13" s="3" t="s">
        <v>104</v>
      </c>
      <c r="L13" s="3" t="s">
        <v>86</v>
      </c>
      <c r="M13" s="3" t="s">
        <v>105</v>
      </c>
      <c r="N13" s="3"/>
      <c r="O13" s="3"/>
    </row>
    <row r="14" customFormat="false" ht="15" hidden="false" customHeight="false" outlineLevel="0" collapsed="false">
      <c r="B14" s="4" t="n">
        <f aca="false">0.000001*G14</f>
        <v>8.5E-008</v>
      </c>
      <c r="C14" s="4" t="n">
        <f aca="false">1000*H14</f>
        <v>267000</v>
      </c>
      <c r="D14" s="3" t="n">
        <f aca="false">(1/B14+SQRT(1/B14^2-8*(PI()*C14)^2*F14^4))/(8*(PI()*C14)^2)</f>
        <v>4.18021688157634E-006</v>
      </c>
      <c r="E14" s="3"/>
      <c r="F14" s="3" t="n">
        <f aca="false">0.01</f>
        <v>0.01</v>
      </c>
      <c r="G14" s="3" t="n">
        <v>0.085</v>
      </c>
      <c r="H14" s="3" t="n">
        <v>267</v>
      </c>
      <c r="I14" s="1" t="n">
        <f aca="false">1000000*D14</f>
        <v>4.18021688157634</v>
      </c>
      <c r="J14" s="3" t="s">
        <v>88</v>
      </c>
      <c r="K14" s="3"/>
      <c r="L14" s="3"/>
      <c r="M14" s="3"/>
      <c r="N14" s="3"/>
      <c r="O14" s="3"/>
    </row>
    <row r="15" customFormat="false" ht="15" hidden="false" customHeight="false" outlineLevel="0" collapsed="false">
      <c r="B15" s="4" t="n">
        <f aca="false">0.000001*G15</f>
        <v>8.8E-007</v>
      </c>
      <c r="C15" s="4" t="n">
        <f aca="false">1000*H15</f>
        <v>90000</v>
      </c>
      <c r="D15" s="3" t="n">
        <f aca="false">(1/B15+SQRT(1/B15^2-8*(PI()*C15)^2*F15^4))/(8*(PI()*C15)^2)</f>
        <v>3.55363297968873E-006</v>
      </c>
      <c r="E15" s="3"/>
      <c r="F15" s="3" t="n">
        <f aca="false">0.01</f>
        <v>0.01</v>
      </c>
      <c r="G15" s="3" t="n">
        <v>0.88</v>
      </c>
      <c r="H15" s="3" t="n">
        <v>90</v>
      </c>
      <c r="I15" s="1" t="n">
        <f aca="false">1000000*D15</f>
        <v>3.55363297968873</v>
      </c>
      <c r="J15" s="3" t="s">
        <v>88</v>
      </c>
      <c r="K15" s="1" t="n">
        <f aca="false">AVERAGE(I14:I16)</f>
        <v>3.75482149362688</v>
      </c>
      <c r="L15" s="3"/>
      <c r="M15" s="3"/>
      <c r="N15" s="3"/>
      <c r="O15" s="3"/>
    </row>
    <row r="16" customFormat="false" ht="15" hidden="false" customHeight="false" outlineLevel="0" collapsed="false">
      <c r="B16" s="4" t="n">
        <f aca="false">0.000001*G16</f>
        <v>5E-006</v>
      </c>
      <c r="C16" s="4" t="n">
        <f aca="false">1000*H16</f>
        <v>37880</v>
      </c>
      <c r="D16" s="3" t="n">
        <f aca="false">(1/B16+SQRT(1/B16^2-8*(PI()*C16)^2*F16^4))/(8*(PI()*C16)^2)</f>
        <v>3.53061461961558E-006</v>
      </c>
      <c r="E16" s="3"/>
      <c r="F16" s="3" t="n">
        <f aca="false">0.01</f>
        <v>0.01</v>
      </c>
      <c r="G16" s="3" t="n">
        <v>5</v>
      </c>
      <c r="H16" s="3" t="n">
        <v>37.88</v>
      </c>
      <c r="I16" s="1" t="n">
        <f aca="false">1000000*D16</f>
        <v>3.53061461961558</v>
      </c>
      <c r="J16" s="3" t="s">
        <v>88</v>
      </c>
      <c r="K16" s="1" t="n">
        <f aca="false">AVERAGE(I15:I16)</f>
        <v>3.54212379965215</v>
      </c>
      <c r="L16" s="3"/>
      <c r="M16" s="3"/>
      <c r="N16" s="3"/>
      <c r="O16" s="3"/>
    </row>
    <row r="17" customFormat="false" ht="15" hidden="false" customHeight="false" outlineLevel="0" collapsed="false">
      <c r="B17" s="4" t="n">
        <f aca="false">0.000001*G17</f>
        <v>5E-006</v>
      </c>
      <c r="C17" s="4" t="n">
        <f aca="false">1000*H17</f>
        <v>1953</v>
      </c>
      <c r="D17" s="3" t="n">
        <f aca="false">(1/B17+SQRT(1/B17^2-8*(PI()*C17)^2*F17^4))/(8*(PI()*C17)^2)</f>
        <v>0.00132805075490995</v>
      </c>
      <c r="E17" s="3"/>
      <c r="F17" s="3" t="n">
        <v>0.5</v>
      </c>
      <c r="G17" s="3" t="n">
        <v>5</v>
      </c>
      <c r="H17" s="3" t="n">
        <v>1.953</v>
      </c>
      <c r="I17" s="1" t="n">
        <f aca="false">1000000*D17</f>
        <v>1328.05075490995</v>
      </c>
      <c r="J17" s="3" t="s">
        <v>89</v>
      </c>
      <c r="K17" s="3"/>
      <c r="L17" s="3"/>
      <c r="M17" s="3"/>
      <c r="N17" s="3"/>
      <c r="O17" s="3"/>
    </row>
    <row r="18" customFormat="false" ht="15" hidden="false" customHeight="false" outlineLevel="0" collapsed="false">
      <c r="B18" s="4" t="n">
        <f aca="false">0.000001*G18</f>
        <v>8.5E-008</v>
      </c>
      <c r="C18" s="4" t="n">
        <f aca="false">1000*H18</f>
        <v>14280</v>
      </c>
      <c r="D18" s="3" t="n">
        <f aca="false">(1/B18+SQRT(1/B18^2-8*(PI()*C18)^2*F18^4))/(8*(PI()*C18)^2)</f>
        <v>0.00146138327704493</v>
      </c>
      <c r="E18" s="3"/>
      <c r="F18" s="3" t="n">
        <v>0.5</v>
      </c>
      <c r="G18" s="3" t="n">
        <v>0.085</v>
      </c>
      <c r="H18" s="3" t="n">
        <v>14.28</v>
      </c>
      <c r="I18" s="1" t="n">
        <f aca="false">1000000*D18</f>
        <v>1461.38327704493</v>
      </c>
      <c r="J18" s="3" t="s">
        <v>89</v>
      </c>
      <c r="K18" s="1" t="n">
        <f aca="false">AVERAGE(I17:I19)</f>
        <v>1411.29294523592</v>
      </c>
      <c r="L18" s="1" t="n">
        <f aca="false">K18/K15</f>
        <v>375.861528339317</v>
      </c>
      <c r="M18" s="1" t="n">
        <f aca="false">SQRT(L18)</f>
        <v>19.3871485355458</v>
      </c>
      <c r="O18" s="3"/>
    </row>
    <row r="19" customFormat="false" ht="15" hidden="false" customHeight="false" outlineLevel="0" collapsed="false">
      <c r="B19" s="4" t="n">
        <f aca="false">0.000001*G19</f>
        <v>8.8E-007</v>
      </c>
      <c r="C19" s="4" t="n">
        <f aca="false">1000*H19</f>
        <v>4464</v>
      </c>
      <c r="D19" s="3" t="n">
        <f aca="false">(1/B19+SQRT(1/B19^2-8*(PI()*C19)^2*F19^4))/(8*(PI()*C19)^2)</f>
        <v>0.00144444480375287</v>
      </c>
      <c r="E19" s="3"/>
      <c r="F19" s="3" t="n">
        <v>0.5</v>
      </c>
      <c r="G19" s="3" t="n">
        <v>0.88</v>
      </c>
      <c r="H19" s="3" t="n">
        <v>4.464</v>
      </c>
      <c r="I19" s="1" t="n">
        <f aca="false">1000000*D19</f>
        <v>1444.44480375287</v>
      </c>
      <c r="J19" s="3" t="s">
        <v>89</v>
      </c>
      <c r="K19" s="1" t="n">
        <f aca="false">AVERAGE(I18:I19)</f>
        <v>1452.9140403989</v>
      </c>
      <c r="L19" s="1" t="n">
        <f aca="false">K19/K16</f>
        <v>410.181609276779</v>
      </c>
      <c r="M19" s="1" t="n">
        <f aca="false">SQRT(L19)</f>
        <v>20.252940756265</v>
      </c>
      <c r="O19" s="3"/>
    </row>
    <row r="21" customFormat="false" ht="15" hidden="false" customHeight="false" outlineLevel="0" collapsed="false">
      <c r="B21" s="0" t="s">
        <v>106</v>
      </c>
      <c r="C21" s="1" t="n">
        <v>49.92</v>
      </c>
      <c r="D21" s="1" t="n">
        <v>59.784</v>
      </c>
      <c r="E21" s="1" t="n">
        <v>69.911</v>
      </c>
      <c r="F21" s="1" t="n">
        <v>80</v>
      </c>
      <c r="G21" s="1" t="n">
        <v>89.82</v>
      </c>
      <c r="H21" s="1" t="n">
        <v>100</v>
      </c>
      <c r="I21" s="1" t="n">
        <v>110.02</v>
      </c>
      <c r="J21" s="1" t="n">
        <v>119.93</v>
      </c>
      <c r="K21" s="1" t="n">
        <v>130.21</v>
      </c>
      <c r="L21" s="1" t="n">
        <v>140.1</v>
      </c>
      <c r="M21" s="1" t="n">
        <v>149.97</v>
      </c>
      <c r="N21" s="1" t="n">
        <v>160.31</v>
      </c>
      <c r="O21" s="1" t="n">
        <v>169.87</v>
      </c>
      <c r="P21" s="1" t="n">
        <v>179.79</v>
      </c>
      <c r="Q21" s="1" t="n">
        <v>189.9</v>
      </c>
      <c r="R21" s="1" t="n">
        <v>199.96</v>
      </c>
    </row>
    <row r="22" customFormat="false" ht="15" hidden="false" customHeight="false" outlineLevel="0" collapsed="false">
      <c r="B22" s="0" t="s">
        <v>107</v>
      </c>
      <c r="C22" s="1" t="n">
        <v>0.05489</v>
      </c>
      <c r="D22" s="1" t="n">
        <v>0.06603</v>
      </c>
      <c r="E22" s="1" t="n">
        <v>0.07743</v>
      </c>
      <c r="F22" s="1" t="n">
        <v>0.08845</v>
      </c>
      <c r="G22" s="1" t="n">
        <v>0.10001</v>
      </c>
      <c r="H22" s="1" t="n">
        <v>0.11064</v>
      </c>
      <c r="I22" s="1" t="n">
        <v>0.12247</v>
      </c>
      <c r="J22" s="1" t="n">
        <v>0.13466</v>
      </c>
      <c r="K22" s="1" t="n">
        <v>0.14715</v>
      </c>
      <c r="L22" s="1" t="n">
        <v>0.15998</v>
      </c>
      <c r="M22" s="1" t="n">
        <v>0.17326</v>
      </c>
      <c r="N22" s="1" t="n">
        <v>0.18702</v>
      </c>
      <c r="O22" s="1" t="n">
        <v>0.20141</v>
      </c>
      <c r="P22" s="1" t="n">
        <v>0.21648</v>
      </c>
      <c r="Q22" s="1" t="n">
        <v>0.23207</v>
      </c>
      <c r="R22" s="1" t="n">
        <v>0.24841</v>
      </c>
    </row>
    <row r="23" customFormat="false" ht="15" hidden="false" customHeight="false" outlineLevel="0" collapsed="false">
      <c r="B23" s="0" t="s">
        <v>108</v>
      </c>
      <c r="C23" s="1" t="n">
        <v>1.0255</v>
      </c>
      <c r="D23" s="1" t="n">
        <v>1.2341</v>
      </c>
      <c r="E23" s="1" t="n">
        <v>1.4458</v>
      </c>
      <c r="F23" s="1" t="n">
        <v>1.6537</v>
      </c>
      <c r="G23" s="1" t="n">
        <v>1.8705</v>
      </c>
      <c r="H23" s="1" t="n">
        <v>2.0888</v>
      </c>
      <c r="I23" s="1" t="n">
        <v>2.3152</v>
      </c>
      <c r="J23" s="1" t="n">
        <v>2.5482</v>
      </c>
      <c r="K23" s="1" t="n">
        <v>2.7857</v>
      </c>
      <c r="L23" s="1" t="n">
        <v>3.0339</v>
      </c>
      <c r="M23" s="1" t="n">
        <v>3.2879</v>
      </c>
      <c r="N23" s="1" t="n">
        <v>3.551</v>
      </c>
      <c r="O23" s="1" t="n">
        <v>3.8261</v>
      </c>
      <c r="P23" s="1" t="n">
        <v>4.1135</v>
      </c>
      <c r="Q23" s="1" t="n">
        <v>4.417</v>
      </c>
      <c r="R23" s="1" t="n">
        <v>4.73</v>
      </c>
    </row>
    <row r="24" customFormat="false" ht="15" hidden="false" customHeight="false" outlineLevel="0" collapsed="false">
      <c r="B24" s="0" t="s">
        <v>109</v>
      </c>
      <c r="C24" s="1" t="n">
        <f aca="false">C23/C22</f>
        <v>18.6828201858262</v>
      </c>
      <c r="D24" s="1" t="n">
        <f aca="false">D23/D22</f>
        <v>18.6899893987581</v>
      </c>
      <c r="E24" s="1" t="n">
        <f aca="false">E23/E22</f>
        <v>18.6723492186491</v>
      </c>
      <c r="F24" s="1" t="n">
        <f aca="false">F23/F22</f>
        <v>18.6964386659129</v>
      </c>
      <c r="G24" s="1" t="n">
        <f aca="false">G23/G22</f>
        <v>18.7031296870313</v>
      </c>
      <c r="H24" s="1" t="n">
        <f aca="false">H23/H22</f>
        <v>18.8792480115691</v>
      </c>
      <c r="I24" s="1" t="n">
        <f aca="false">I23/I22</f>
        <v>18.9042214419858</v>
      </c>
      <c r="J24" s="1" t="n">
        <f aca="false">J23/J22</f>
        <v>18.9232140204961</v>
      </c>
      <c r="K24" s="1" t="n">
        <f aca="false">K23/K22</f>
        <v>18.9310227658852</v>
      </c>
      <c r="L24" s="1" t="n">
        <f aca="false">L23/L22</f>
        <v>18.9642455306913</v>
      </c>
      <c r="M24" s="1" t="n">
        <f aca="false">M23/M22</f>
        <v>18.9766824425719</v>
      </c>
      <c r="N24" s="1" t="n">
        <f aca="false">N23/N22</f>
        <v>18.9872740883328</v>
      </c>
      <c r="O24" s="1" t="n">
        <f aca="false">O23/O22</f>
        <v>18.9965741522268</v>
      </c>
      <c r="P24" s="1" t="n">
        <f aca="false">P23/P22</f>
        <v>19.0017553584627</v>
      </c>
      <c r="Q24" s="1" t="n">
        <f aca="false">Q23/Q22</f>
        <v>19.0330503727324</v>
      </c>
      <c r="R24" s="1" t="n">
        <f aca="false">R23/R22</f>
        <v>19.0411014049354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5" activeCellId="0" sqref="L25"/>
    </sheetView>
  </sheetViews>
  <sheetFormatPr defaultColWidth="8.6796875" defaultRowHeight="15" zeroHeight="false" outlineLevelRow="0" outlineLevelCol="0"/>
  <cols>
    <col collapsed="false" customWidth="true" hidden="false" outlineLevel="0" max="2" min="2" style="3" width="9.14"/>
    <col collapsed="false" customWidth="true" hidden="false" outlineLevel="0" max="3" min="3" style="3" width="8.57"/>
    <col collapsed="false" customWidth="true" hidden="false" outlineLevel="0" max="4" min="4" style="3" width="9.14"/>
  </cols>
  <sheetData>
    <row r="2" customFormat="false" ht="15" hidden="false" customHeight="false" outlineLevel="0" collapsed="false">
      <c r="B2" s="3" t="s">
        <v>110</v>
      </c>
      <c r="C2" s="3" t="n">
        <v>550</v>
      </c>
      <c r="D2" s="3" t="s">
        <v>111</v>
      </c>
      <c r="F2" s="3" t="s">
        <v>112</v>
      </c>
      <c r="G2" s="3" t="s">
        <v>113</v>
      </c>
      <c r="H2" s="3" t="s">
        <v>114</v>
      </c>
      <c r="I2" s="3" t="s">
        <v>115</v>
      </c>
      <c r="K2" s="3"/>
      <c r="L2" s="3"/>
      <c r="M2" s="3"/>
      <c r="N2" s="3"/>
      <c r="Q2" s="3"/>
      <c r="R2" s="3"/>
      <c r="S2" s="3"/>
      <c r="T2" s="3"/>
      <c r="W2" s="3"/>
      <c r="X2" s="3"/>
      <c r="Y2" s="3"/>
      <c r="Z2" s="3"/>
    </row>
    <row r="3" customFormat="false" ht="15" hidden="false" customHeight="false" outlineLevel="0" collapsed="false">
      <c r="B3" s="3" t="s">
        <v>116</v>
      </c>
      <c r="C3" s="3" t="n">
        <v>170</v>
      </c>
      <c r="D3" s="3" t="s">
        <v>111</v>
      </c>
      <c r="F3" s="5" t="n">
        <v>0</v>
      </c>
      <c r="G3" s="5" t="n">
        <f aca="false">$C$11*F3/($C$11+F3)</f>
        <v>0</v>
      </c>
      <c r="H3" s="5" t="n">
        <f aca="false">G3+$C$10</f>
        <v>2.2</v>
      </c>
      <c r="I3" s="5" t="n">
        <f aca="false">$C$4/H3*($C$5+H3)</f>
        <v>547.954545454545</v>
      </c>
      <c r="K3" s="3"/>
      <c r="L3" s="3"/>
      <c r="M3" s="3"/>
      <c r="Q3" s="3"/>
      <c r="R3" s="3"/>
      <c r="S3" s="3"/>
      <c r="W3" s="3"/>
      <c r="X3" s="3"/>
      <c r="Y3" s="3"/>
    </row>
    <row r="4" customFormat="false" ht="15" hidden="false" customHeight="false" outlineLevel="0" collapsed="false">
      <c r="B4" s="3" t="s">
        <v>117</v>
      </c>
      <c r="C4" s="3" t="n">
        <v>2.5</v>
      </c>
      <c r="D4" s="3" t="s">
        <v>111</v>
      </c>
      <c r="F4" s="5" t="n">
        <v>0.5</v>
      </c>
      <c r="G4" s="5" t="n">
        <f aca="false">$C$11*F4/($C$11+F4)</f>
        <v>0.499750124937531</v>
      </c>
      <c r="H4" s="5" t="n">
        <f aca="false">G4+$C$10</f>
        <v>2.69975012493753</v>
      </c>
      <c r="I4" s="5" t="n">
        <f aca="false">$C$4/H4*($C$5+H4)</f>
        <v>446.98557994891</v>
      </c>
      <c r="K4" s="3"/>
      <c r="L4" s="3"/>
      <c r="M4" s="3"/>
      <c r="Q4" s="3"/>
      <c r="R4" s="3"/>
      <c r="S4" s="3"/>
      <c r="W4" s="3"/>
      <c r="X4" s="3"/>
      <c r="Y4" s="3"/>
    </row>
    <row r="5" customFormat="false" ht="15" hidden="false" customHeight="false" outlineLevel="0" collapsed="false">
      <c r="B5" s="3" t="s">
        <v>118</v>
      </c>
      <c r="C5" s="3" t="n">
        <v>480</v>
      </c>
      <c r="D5" s="3" t="s">
        <v>119</v>
      </c>
      <c r="F5" s="5" t="n">
        <v>1</v>
      </c>
      <c r="G5" s="5" t="n">
        <f aca="false">$C$11*F5/($C$11+F5)</f>
        <v>0.999000999000999</v>
      </c>
      <c r="H5" s="5" t="n">
        <f aca="false">G5+$C$10</f>
        <v>3.199000999001</v>
      </c>
      <c r="I5" s="5" t="n">
        <f aca="false">$C$4/H5*($C$5+H5)</f>
        <v>377.617106988945</v>
      </c>
      <c r="K5" s="3"/>
      <c r="L5" s="3"/>
      <c r="M5" s="3"/>
      <c r="Q5" s="3"/>
      <c r="R5" s="3"/>
      <c r="S5" s="3"/>
      <c r="W5" s="3"/>
      <c r="X5" s="3"/>
      <c r="Y5" s="3"/>
    </row>
    <row r="6" customFormat="false" ht="15" hidden="false" customHeight="false" outlineLevel="0" collapsed="false">
      <c r="F6" s="5" t="n">
        <v>1.5</v>
      </c>
      <c r="G6" s="5" t="n">
        <f aca="false">$C$11*F6/($C$11+F6)</f>
        <v>1.49775336994508</v>
      </c>
      <c r="H6" s="5" t="n">
        <f aca="false">G6+$C$10</f>
        <v>3.69775336994508</v>
      </c>
      <c r="I6" s="5" t="n">
        <f aca="false">$C$4/H6*($C$5+H6)</f>
        <v>327.021372829638</v>
      </c>
      <c r="K6" s="3"/>
      <c r="L6" s="3"/>
      <c r="M6" s="3"/>
      <c r="Q6" s="3"/>
      <c r="R6" s="3"/>
      <c r="S6" s="3"/>
      <c r="W6" s="3"/>
      <c r="X6" s="3"/>
      <c r="Y6" s="3"/>
    </row>
    <row r="7" customFormat="false" ht="15" hidden="false" customHeight="false" outlineLevel="0" collapsed="false">
      <c r="B7" s="3" t="s">
        <v>120</v>
      </c>
      <c r="C7" s="5" t="n">
        <f aca="false">C4/((C2-C4)/C5)</f>
        <v>2.19178082191781</v>
      </c>
      <c r="D7" s="3" t="s">
        <v>119</v>
      </c>
      <c r="F7" s="5" t="n">
        <v>2</v>
      </c>
      <c r="G7" s="5" t="n">
        <f aca="false">$C$11*F7/($C$11+F7)</f>
        <v>1.99600798403194</v>
      </c>
      <c r="H7" s="5" t="n">
        <f aca="false">G7+$C$10</f>
        <v>4.19600798403194</v>
      </c>
      <c r="I7" s="5" t="n">
        <f aca="false">$C$4/H7*($C$5+H7)</f>
        <v>288.486109789744</v>
      </c>
      <c r="K7" s="3"/>
      <c r="L7" s="3"/>
      <c r="M7" s="3"/>
      <c r="Q7" s="3"/>
      <c r="R7" s="3"/>
      <c r="S7" s="3"/>
      <c r="W7" s="3"/>
      <c r="X7" s="3"/>
      <c r="Y7" s="3"/>
    </row>
    <row r="8" customFormat="false" ht="15" hidden="false" customHeight="false" outlineLevel="0" collapsed="false">
      <c r="B8" s="3" t="s">
        <v>121</v>
      </c>
      <c r="C8" s="5" t="n">
        <f aca="false">C4/((C3-C4)/C5)</f>
        <v>7.16417910447761</v>
      </c>
      <c r="D8" s="3" t="s">
        <v>119</v>
      </c>
      <c r="F8" s="5" t="n">
        <v>2.5</v>
      </c>
      <c r="G8" s="5" t="n">
        <f aca="false">$C$11*F8/($C$11+F8)</f>
        <v>2.49376558603491</v>
      </c>
      <c r="H8" s="5" t="n">
        <f aca="false">G8+$C$10</f>
        <v>4.69376558603491</v>
      </c>
      <c r="I8" s="5" t="n">
        <f aca="false">$C$4/H8*($C$5+H8)</f>
        <v>258.158272234619</v>
      </c>
      <c r="K8" s="3"/>
      <c r="L8" s="3"/>
      <c r="M8" s="3"/>
      <c r="Q8" s="3"/>
      <c r="R8" s="3"/>
      <c r="S8" s="3"/>
      <c r="W8" s="3"/>
      <c r="X8" s="3"/>
      <c r="Y8" s="3"/>
    </row>
    <row r="9" customFormat="false" ht="15" hidden="false" customHeight="false" outlineLevel="0" collapsed="false">
      <c r="B9" s="3" t="s">
        <v>122</v>
      </c>
      <c r="C9" s="5" t="n">
        <f aca="false">C8-C7</f>
        <v>4.9723982825598</v>
      </c>
      <c r="D9" s="3" t="s">
        <v>119</v>
      </c>
      <c r="F9" s="5" t="n">
        <v>3</v>
      </c>
      <c r="G9" s="5" t="n">
        <f aca="false">$C$11*F9/($C$11+F9)</f>
        <v>2.99102691924227</v>
      </c>
      <c r="H9" s="5" t="n">
        <f aca="false">G9+$C$10</f>
        <v>5.19102691924227</v>
      </c>
      <c r="I9" s="5" t="n">
        <f aca="false">$C$4/H9*($C$5+H9)</f>
        <v>233.668132754581</v>
      </c>
      <c r="K9" s="3"/>
      <c r="L9" s="3"/>
      <c r="M9" s="3"/>
      <c r="Q9" s="3"/>
      <c r="R9" s="3"/>
      <c r="S9" s="3"/>
      <c r="W9" s="3"/>
      <c r="X9" s="3"/>
      <c r="Y9" s="3"/>
    </row>
    <row r="10" customFormat="false" ht="15" hidden="false" customHeight="false" outlineLevel="0" collapsed="false">
      <c r="B10" s="3" t="s">
        <v>123</v>
      </c>
      <c r="C10" s="3" t="n">
        <v>2.2</v>
      </c>
      <c r="D10" s="3" t="s">
        <v>119</v>
      </c>
      <c r="F10" s="5" t="n">
        <v>3.5</v>
      </c>
      <c r="G10" s="5" t="n">
        <f aca="false">$C$11*F10/($C$11+F10)</f>
        <v>3.48779272546089</v>
      </c>
      <c r="H10" s="5" t="n">
        <f aca="false">G10+$C$10</f>
        <v>5.68779272546089</v>
      </c>
      <c r="I10" s="5" t="n">
        <f aca="false">$C$4/H10*($C$5+H10)</f>
        <v>213.478152320549</v>
      </c>
      <c r="K10" s="3"/>
      <c r="L10" s="3"/>
      <c r="M10" s="3"/>
      <c r="Q10" s="3"/>
      <c r="R10" s="3"/>
      <c r="S10" s="3"/>
      <c r="W10" s="3"/>
      <c r="X10" s="3"/>
      <c r="Y10" s="3"/>
    </row>
    <row r="11" customFormat="false" ht="15" hidden="false" customHeight="false" outlineLevel="0" collapsed="false">
      <c r="B11" s="3" t="s">
        <v>124</v>
      </c>
      <c r="C11" s="15" t="n">
        <v>1000</v>
      </c>
      <c r="D11" s="3" t="s">
        <v>119</v>
      </c>
      <c r="F11" s="5" t="n">
        <v>4</v>
      </c>
      <c r="G11" s="5" t="n">
        <f aca="false">$C$11*F11/($C$11+F11)</f>
        <v>3.98406374501992</v>
      </c>
      <c r="H11" s="5" t="n">
        <f aca="false">G11+$C$10</f>
        <v>6.18406374501992</v>
      </c>
      <c r="I11" s="5" t="n">
        <f aca="false">$C$4/H11*($C$5+H11)</f>
        <v>196.547158871279</v>
      </c>
      <c r="K11" s="3"/>
      <c r="L11" s="3"/>
      <c r="M11" s="3"/>
      <c r="Q11" s="3"/>
      <c r="R11" s="3"/>
      <c r="S11" s="3"/>
      <c r="W11" s="3"/>
      <c r="X11" s="3"/>
      <c r="Y11" s="3"/>
    </row>
    <row r="12" customFormat="false" ht="15" hidden="false" customHeight="false" outlineLevel="0" collapsed="false">
      <c r="F12" s="5" t="n">
        <v>4.5</v>
      </c>
      <c r="G12" s="5" t="n">
        <f aca="false">$C$11*F12/($C$11+F12)</f>
        <v>4.47984071677452</v>
      </c>
      <c r="H12" s="5" t="n">
        <f aca="false">G12+$C$10</f>
        <v>6.67984071677452</v>
      </c>
      <c r="I12" s="5" t="n">
        <f aca="false">$C$4/H12*($C$5+H12)</f>
        <v>182.145002160986</v>
      </c>
      <c r="K12" s="3"/>
      <c r="L12" s="3"/>
      <c r="M12" s="3"/>
      <c r="Q12" s="3"/>
      <c r="R12" s="3"/>
      <c r="S12" s="3"/>
      <c r="W12" s="3"/>
      <c r="X12" s="3"/>
      <c r="Y12" s="3"/>
    </row>
    <row r="13" customFormat="false" ht="15" hidden="false" customHeight="false" outlineLevel="0" collapsed="false">
      <c r="F13" s="5" t="n">
        <v>5</v>
      </c>
      <c r="G13" s="5" t="n">
        <f aca="false">$C$11*F13/($C$11+F13)</f>
        <v>4.97512437810945</v>
      </c>
      <c r="H13" s="5" t="n">
        <f aca="false">G13+$C$10</f>
        <v>7.17512437810945</v>
      </c>
      <c r="I13" s="5" t="n">
        <f aca="false">$C$4/H13*($C$5+H13)</f>
        <v>169.744487588407</v>
      </c>
      <c r="K13" s="3"/>
      <c r="L13" s="3"/>
      <c r="M13" s="3"/>
      <c r="Q13" s="3"/>
      <c r="R13" s="3"/>
      <c r="S13" s="3"/>
      <c r="W13" s="3"/>
      <c r="X13" s="3"/>
      <c r="Y13" s="3"/>
    </row>
    <row r="19" customFormat="false" ht="15" hidden="false" customHeight="false" outlineLevel="0" collapsed="false">
      <c r="F19" s="33" t="s">
        <v>125</v>
      </c>
    </row>
    <row r="21" customFormat="false" ht="15" hidden="false" customHeight="false" outlineLevel="0" collapsed="false">
      <c r="F21" s="33" t="s">
        <v>126</v>
      </c>
    </row>
    <row r="22" customFormat="false" ht="15" hidden="false" customHeight="false" outlineLevel="0" collapsed="false">
      <c r="L22" s="3"/>
      <c r="M22" s="3"/>
      <c r="N22" s="3"/>
    </row>
    <row r="23" customFormat="false" ht="15" hidden="false" customHeight="false" outlineLevel="0" collapsed="false">
      <c r="F23" s="33" t="s">
        <v>127</v>
      </c>
      <c r="L23" s="3"/>
      <c r="M23" s="3"/>
      <c r="N23" s="3"/>
    </row>
    <row r="24" customFormat="false" ht="15" hidden="false" customHeight="false" outlineLevel="0" collapsed="false">
      <c r="F24" s="33" t="s">
        <v>128</v>
      </c>
    </row>
    <row r="25" customFormat="false" ht="15" hidden="false" customHeight="false" outlineLevel="0" collapsed="false">
      <c r="F25" s="33" t="s">
        <v>129</v>
      </c>
    </row>
    <row r="26" customFormat="false" ht="15" hidden="false" customHeight="false" outlineLevel="0" collapsed="false">
      <c r="F26" s="33" t="s">
        <v>130</v>
      </c>
    </row>
    <row r="27" customFormat="false" ht="15" hidden="false" customHeight="false" outlineLevel="0" collapsed="false">
      <c r="F27" s="33" t="s">
        <v>131</v>
      </c>
    </row>
    <row r="36" customFormat="false" ht="15" hidden="false" customHeight="false" outlineLevel="0" collapsed="false">
      <c r="L36" s="3"/>
      <c r="M36" s="3"/>
      <c r="N36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2026-02-22T09:56:10Z</dcterms:created>
  <dc:creator>Felipe Lopasso Rodrigues</dc:creator>
  <dc:description/>
  <dc:language>en-GB</dc:language>
  <cp:lastModifiedBy/>
  <dcterms:modified xsi:type="dcterms:W3CDTF">2026-03-31T16:52:53Z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